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bels" sheetId="1" state="visible" r:id="rId3"/>
    <sheet name="Order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<sst xmlns="http://schemas.openxmlformats.org/spreadsheetml/2006/main" count="548" uniqueCount="266">
  <si>
    <t xml:space="preserve">Label</t>
  </si>
  <si>
    <t xml:space="preserve">Type</t>
  </si>
  <si>
    <t xml:space="preserve">ContactName</t>
  </si>
  <si>
    <t xml:space="preserve">ContactEmail</t>
  </si>
  <si>
    <t xml:space="preserve">LastOrderDate</t>
  </si>
  <si>
    <t xml:space="preserve">LastOrderSize</t>
  </si>
  <si>
    <t xml:space="preserve">LastContact</t>
  </si>
  <si>
    <t xml:space="preserve">PopUpInterest</t>
  </si>
  <si>
    <t xml:space="preserve">Crate &amp; Needle Records</t>
  </si>
  <si>
    <t xml:space="preserve">Indie label</t>
  </si>
  <si>
    <t xml:space="preserve">Rosa Martinez</t>
  </si>
  <si>
    <t xml:space="preserve">rosa@crateandneedle.example</t>
  </si>
  <si>
    <t xml:space="preserve">Yes</t>
  </si>
  <si>
    <t xml:space="preserve">Tape Hiss Records</t>
  </si>
  <si>
    <t xml:space="preserve">Jonah Pike</t>
  </si>
  <si>
    <t xml:space="preserve">jonah@tapehissrecords.example</t>
  </si>
  <si>
    <t xml:space="preserve">Unknown</t>
  </si>
  <si>
    <t xml:space="preserve">Low Hum Recordings</t>
  </si>
  <si>
    <t xml:space="preserve">Priya Natarajan</t>
  </si>
  <si>
    <t xml:space="preserve">priya@lowhumrecordings.example</t>
  </si>
  <si>
    <t xml:space="preserve">Sunday Static</t>
  </si>
  <si>
    <t xml:space="preserve">Cal Whitaker</t>
  </si>
  <si>
    <t xml:space="preserve">cal@sundaystatic.example</t>
  </si>
  <si>
    <t xml:space="preserve">Maybe</t>
  </si>
  <si>
    <t xml:space="preserve">Paper Sleeve Music</t>
  </si>
  <si>
    <t xml:space="preserve">Nora Quinn</t>
  </si>
  <si>
    <t xml:space="preserve">nora@papersleevemusic.example</t>
  </si>
  <si>
    <t xml:space="preserve">Blue Hour Records</t>
  </si>
  <si>
    <t xml:space="preserve">Theo Grant</t>
  </si>
  <si>
    <t xml:space="preserve">theo@bluehourrecords.example</t>
  </si>
  <si>
    <t xml:space="preserve">Warped Wax Co.</t>
  </si>
  <si>
    <t xml:space="preserve">Reissue label</t>
  </si>
  <si>
    <t xml:space="preserve">Lena Hoffman</t>
  </si>
  <si>
    <t xml:space="preserve">lena@warpedwaxco.example</t>
  </si>
  <si>
    <t xml:space="preserve">No</t>
  </si>
  <si>
    <t xml:space="preserve">Golden Groove Reissues</t>
  </si>
  <si>
    <t xml:space="preserve">Marcus Bell</t>
  </si>
  <si>
    <t xml:space="preserve">marcus@goldengroovereissu.example</t>
  </si>
  <si>
    <t xml:space="preserve">Night Shift Records</t>
  </si>
  <si>
    <t xml:space="preserve">Sam Oyelaran</t>
  </si>
  <si>
    <t xml:space="preserve">sam@nightshiftrecords.example</t>
  </si>
  <si>
    <t xml:space="preserve">Dusty Grooves Collective</t>
  </si>
  <si>
    <t xml:space="preserve">Used vinyl wholesaler</t>
  </si>
  <si>
    <t xml:space="preserve">Ruth Abernathy</t>
  </si>
  <si>
    <t xml:space="preserve">ruth@dustygrooves.example</t>
  </si>
  <si>
    <t xml:space="preserve">Yes (swap)</t>
  </si>
  <si>
    <t xml:space="preserve">Second Spin Supply</t>
  </si>
  <si>
    <t xml:space="preserve">Evan Cho</t>
  </si>
  <si>
    <t xml:space="preserve">evan@secondspinsupply.example</t>
  </si>
  <si>
    <t xml:space="preserve">Northbound Distribution</t>
  </si>
  <si>
    <t xml:space="preserve">Distributor</t>
  </si>
  <si>
    <t xml:space="preserve">Kira Lindqvist</t>
  </si>
  <si>
    <t xml:space="preserve">kira@northbounddistribu.example</t>
  </si>
  <si>
    <t xml:space="preserve">Heartland Vinyl Distribution</t>
  </si>
  <si>
    <t xml:space="preserve">Ben Travers</t>
  </si>
  <si>
    <t xml:space="preserve">ben@heartlandvinyldist.example</t>
  </si>
  <si>
    <t xml:space="preserve">Soft Focus Records</t>
  </si>
  <si>
    <t xml:space="preserve">Ada Moreno</t>
  </si>
  <si>
    <t xml:space="preserve">ada@softfocusrecords.example</t>
  </si>
  <si>
    <t xml:space="preserve">Riverbend Sound</t>
  </si>
  <si>
    <t xml:space="preserve">Luis Ortega</t>
  </si>
  <si>
    <t xml:space="preserve">luis@riverbendsound.example</t>
  </si>
  <si>
    <t xml:space="preserve">Cassette Club</t>
  </si>
  <si>
    <t xml:space="preserve">Cassette label</t>
  </si>
  <si>
    <t xml:space="preserve">Mina Park</t>
  </si>
  <si>
    <t xml:space="preserve">mina@cassetteclub.example</t>
  </si>
  <si>
    <t xml:space="preserve">Hollow Body Records</t>
  </si>
  <si>
    <t xml:space="preserve">Grant Ellis</t>
  </si>
  <si>
    <t xml:space="preserve">grant@hollowbodyrecords.example</t>
  </si>
  <si>
    <t xml:space="preserve">Late Night Library</t>
  </si>
  <si>
    <t xml:space="preserve">Jazz label</t>
  </si>
  <si>
    <t xml:space="preserve">Celeste Dubois</t>
  </si>
  <si>
    <t xml:space="preserve">celeste@latenightlibrary.example</t>
  </si>
  <si>
    <t xml:space="preserve">Brass Tacks Jazz</t>
  </si>
  <si>
    <t xml:space="preserve">Walter Simms</t>
  </si>
  <si>
    <t xml:space="preserve">walter@brasstacksjazz.example</t>
  </si>
  <si>
    <t xml:space="preserve">Deep Cut Soul</t>
  </si>
  <si>
    <t xml:space="preserve">Yvonne Carter</t>
  </si>
  <si>
    <t xml:space="preserve">yvonne@deepcutsoul.example</t>
  </si>
  <si>
    <t xml:space="preserve">Porch Light Folk</t>
  </si>
  <si>
    <t xml:space="preserve">Folk label</t>
  </si>
  <si>
    <t xml:space="preserve">Hannah Reyes</t>
  </si>
  <si>
    <t xml:space="preserve">hannah@porchlightfolk.example</t>
  </si>
  <si>
    <t xml:space="preserve">Neon Canyon</t>
  </si>
  <si>
    <t xml:space="preserve">Dev Patel</t>
  </si>
  <si>
    <t xml:space="preserve">dev@neoncanyon.example</t>
  </si>
  <si>
    <t xml:space="preserve">Feedback Loop Records</t>
  </si>
  <si>
    <t xml:space="preserve">Punk label</t>
  </si>
  <si>
    <t xml:space="preserve">Max Cohen</t>
  </si>
  <si>
    <t xml:space="preserve">max@feedbacklooprecord.example</t>
  </si>
  <si>
    <t xml:space="preserve">Garage Door Records</t>
  </si>
  <si>
    <t xml:space="preserve">Tess Holloway</t>
  </si>
  <si>
    <t xml:space="preserve">tess@garagedoorrecords.example</t>
  </si>
  <si>
    <t xml:space="preserve">Slow Burn Blues</t>
  </si>
  <si>
    <t xml:space="preserve">Blues label</t>
  </si>
  <si>
    <t xml:space="preserve">Otis Freeman</t>
  </si>
  <si>
    <t xml:space="preserve">otis@slowburnblues.example</t>
  </si>
  <si>
    <t xml:space="preserve">Moonroof Records</t>
  </si>
  <si>
    <t xml:space="preserve">Isla Bennett</t>
  </si>
  <si>
    <t xml:space="preserve">isla@moonroofrecords.example</t>
  </si>
  <si>
    <t xml:space="preserve">Analog Heart</t>
  </si>
  <si>
    <t xml:space="preserve">Remy Laurent</t>
  </si>
  <si>
    <t xml:space="preserve">remy@analogheart.example</t>
  </si>
  <si>
    <t xml:space="preserve">B-Side Society</t>
  </si>
  <si>
    <t xml:space="preserve">Gus Novak</t>
  </si>
  <si>
    <t xml:space="preserve">gus@bsidesociety.example</t>
  </si>
  <si>
    <t xml:space="preserve">Thrift Store Classics</t>
  </si>
  <si>
    <t xml:space="preserve">Pat Jennings</t>
  </si>
  <si>
    <t xml:space="preserve">pat@thriftstoreclassic.example</t>
  </si>
  <si>
    <t xml:space="preserve">Electric Attic</t>
  </si>
  <si>
    <t xml:space="preserve">Electronic label</t>
  </si>
  <si>
    <t xml:space="preserve">Zoe Fischer</t>
  </si>
  <si>
    <t xml:space="preserve">zoe@electricattic.example</t>
  </si>
  <si>
    <t xml:space="preserve">Kosmos Beats</t>
  </si>
  <si>
    <t xml:space="preserve">Anton Petrov</t>
  </si>
  <si>
    <t xml:space="preserve">anton@kosmosbeats.example</t>
  </si>
  <si>
    <t xml:space="preserve">Fuzzbox Records</t>
  </si>
  <si>
    <t xml:space="preserve">Rock label</t>
  </si>
  <si>
    <t xml:space="preserve">Jess Morgan</t>
  </si>
  <si>
    <t xml:space="preserve">jess@fuzzboxrecords.example</t>
  </si>
  <si>
    <t xml:space="preserve">Wax Poetic</t>
  </si>
  <si>
    <t xml:space="preserve">Hip-hop label</t>
  </si>
  <si>
    <t xml:space="preserve">Andre Knight</t>
  </si>
  <si>
    <t xml:space="preserve">andre@waxpoetic.example</t>
  </si>
  <si>
    <t xml:space="preserve">Crossfade Records</t>
  </si>
  <si>
    <t xml:space="preserve">Lila Brooks</t>
  </si>
  <si>
    <t xml:space="preserve">lila@crossfaderecords.example</t>
  </si>
  <si>
    <t xml:space="preserve">Prairie Fire Music</t>
  </si>
  <si>
    <t xml:space="preserve">Country label</t>
  </si>
  <si>
    <t xml:space="preserve">Wade Collins</t>
  </si>
  <si>
    <t xml:space="preserve">wade@prairiefiremusic.example</t>
  </si>
  <si>
    <t xml:space="preserve">Salt Flat Records</t>
  </si>
  <si>
    <t xml:space="preserve">June Harper</t>
  </si>
  <si>
    <t xml:space="preserve">june@saltflatrecords.example</t>
  </si>
  <si>
    <t xml:space="preserve">Candlelight Classics</t>
  </si>
  <si>
    <t xml:space="preserve">Classical label</t>
  </si>
  <si>
    <t xml:space="preserve">Henri Vasseur</t>
  </si>
  <si>
    <t xml:space="preserve">henri@candlelightclassic.example</t>
  </si>
  <si>
    <t xml:space="preserve">Needle &amp; Thread Merch</t>
  </si>
  <si>
    <t xml:space="preserve">Merch vendor</t>
  </si>
  <si>
    <t xml:space="preserve">Carla Diaz</t>
  </si>
  <si>
    <t xml:space="preserve">carla@needlethreadmerch.example</t>
  </si>
  <si>
    <t xml:space="preserve">Spindle Press</t>
  </si>
  <si>
    <t xml:space="preserve">Pressing plant</t>
  </si>
  <si>
    <t xml:space="preserve">Owen Marsh</t>
  </si>
  <si>
    <t xml:space="preserve">owen@spindlepress.example</t>
  </si>
  <si>
    <t xml:space="preserve">Local Loop Consignment</t>
  </si>
  <si>
    <t xml:space="preserve">Local consignment</t>
  </si>
  <si>
    <t xml:space="preserve">Rae Sutton</t>
  </si>
  <si>
    <t xml:space="preserve">rae@localloopconsignme.example</t>
  </si>
  <si>
    <t xml:space="preserve">LastOrderDate and LastOrderSize are formulas over the Orders sheet. PopUpInterest is updated by hand (or by Cowork).</t>
  </si>
  <si>
    <t xml:space="preserve">OrderNo</t>
  </si>
  <si>
    <t xml:space="preserve">Date</t>
  </si>
  <si>
    <t xml:space="preserve">Units</t>
  </si>
  <si>
    <t xml:space="preserve">Amount</t>
  </si>
  <si>
    <t xml:space="preserve">PO-1027</t>
  </si>
  <si>
    <t xml:space="preserve">PO-1065</t>
  </si>
  <si>
    <t xml:space="preserve">PO-1011</t>
  </si>
  <si>
    <t xml:space="preserve">PO-1042</t>
  </si>
  <si>
    <t xml:space="preserve">PO-1083</t>
  </si>
  <si>
    <t xml:space="preserve">PO-1084</t>
  </si>
  <si>
    <t xml:space="preserve">PO-1046</t>
  </si>
  <si>
    <t xml:space="preserve">PO-1043</t>
  </si>
  <si>
    <t xml:space="preserve">PO-1099</t>
  </si>
  <si>
    <t xml:space="preserve">PO-1028</t>
  </si>
  <si>
    <t xml:space="preserve">PO-1019</t>
  </si>
  <si>
    <t xml:space="preserve">PO-1104</t>
  </si>
  <si>
    <t xml:space="preserve">PO-1035</t>
  </si>
  <si>
    <t xml:space="preserve">PO-1063</t>
  </si>
  <si>
    <t xml:space="preserve">PO-1026</t>
  </si>
  <si>
    <t xml:space="preserve">PO-1105</t>
  </si>
  <si>
    <t xml:space="preserve">PO-1032</t>
  </si>
  <si>
    <t xml:space="preserve">PO-1079</t>
  </si>
  <si>
    <t xml:space="preserve">PO-1059</t>
  </si>
  <si>
    <t xml:space="preserve">PO-1060</t>
  </si>
  <si>
    <t xml:space="preserve">PO-1047</t>
  </si>
  <si>
    <t xml:space="preserve">PO-1057</t>
  </si>
  <si>
    <t xml:space="preserve">PO-1061</t>
  </si>
  <si>
    <t xml:space="preserve">PO-1009</t>
  </si>
  <si>
    <t xml:space="preserve">PO-1016</t>
  </si>
  <si>
    <t xml:space="preserve">PO-1100</t>
  </si>
  <si>
    <t xml:space="preserve">PO-1070</t>
  </si>
  <si>
    <t xml:space="preserve">PO-1094</t>
  </si>
  <si>
    <t xml:space="preserve">PO-1088</t>
  </si>
  <si>
    <t xml:space="preserve">PO-1101</t>
  </si>
  <si>
    <t xml:space="preserve">PO-1066</t>
  </si>
  <si>
    <t xml:space="preserve">PO-1031</t>
  </si>
  <si>
    <t xml:space="preserve">PO-1064</t>
  </si>
  <si>
    <t xml:space="preserve">PO-1102</t>
  </si>
  <si>
    <t xml:space="preserve">PO-1074</t>
  </si>
  <si>
    <t xml:space="preserve">PO-1089</t>
  </si>
  <si>
    <t xml:space="preserve">PO-1036</t>
  </si>
  <si>
    <t xml:space="preserve">PO-1020</t>
  </si>
  <si>
    <t xml:space="preserve">PO-1048</t>
  </si>
  <si>
    <t xml:space="preserve">PO-1005</t>
  </si>
  <si>
    <t xml:space="preserve">PO-1103</t>
  </si>
  <si>
    <t xml:space="preserve">PO-1029</t>
  </si>
  <si>
    <t xml:space="preserve">PO-1085</t>
  </si>
  <si>
    <t xml:space="preserve">PO-1006</t>
  </si>
  <si>
    <t xml:space="preserve">PO-1038</t>
  </si>
  <si>
    <t xml:space="preserve">PO-1106</t>
  </si>
  <si>
    <t xml:space="preserve">PO-1037</t>
  </si>
  <si>
    <t xml:space="preserve">PO-1050</t>
  </si>
  <si>
    <t xml:space="preserve">PO-1098</t>
  </si>
  <si>
    <t xml:space="preserve">PO-1021</t>
  </si>
  <si>
    <t xml:space="preserve">THR-0107</t>
  </si>
  <si>
    <t xml:space="preserve">PO-1071</t>
  </si>
  <si>
    <t xml:space="preserve">PO-1033</t>
  </si>
  <si>
    <t xml:space="preserve">PO-1051</t>
  </si>
  <si>
    <t xml:space="preserve">PO-1075</t>
  </si>
  <si>
    <t xml:space="preserve">PO-1076</t>
  </si>
  <si>
    <t xml:space="preserve">PO-1045</t>
  </si>
  <si>
    <t xml:space="preserve">PO-1022</t>
  </si>
  <si>
    <t xml:space="preserve">PO-1034</t>
  </si>
  <si>
    <t xml:space="preserve">PO-1095</t>
  </si>
  <si>
    <t xml:space="preserve">CNR-0412</t>
  </si>
  <si>
    <t xml:space="preserve">PO-1023</t>
  </si>
  <si>
    <t xml:space="preserve">PO-1058</t>
  </si>
  <si>
    <t xml:space="preserve">PO-1067</t>
  </si>
  <si>
    <t xml:space="preserve">PO-1017</t>
  </si>
  <si>
    <t xml:space="preserve">PO-1086</t>
  </si>
  <si>
    <t xml:space="preserve">PO-1010</t>
  </si>
  <si>
    <t xml:space="preserve">PO-1108</t>
  </si>
  <si>
    <t xml:space="preserve">PO-1091</t>
  </si>
  <si>
    <t xml:space="preserve">PO-1024</t>
  </si>
  <si>
    <t xml:space="preserve">PO-1015</t>
  </si>
  <si>
    <t xml:space="preserve">PO-1068</t>
  </si>
  <si>
    <t xml:space="preserve">PO-1109</t>
  </si>
  <si>
    <t xml:space="preserve">PO-1049</t>
  </si>
  <si>
    <t xml:space="preserve">PO-1090</t>
  </si>
  <si>
    <t xml:space="preserve">PO-1007</t>
  </si>
  <si>
    <t xml:space="preserve">PO-1069</t>
  </si>
  <si>
    <t xml:space="preserve">PO-1039</t>
  </si>
  <si>
    <t xml:space="preserve">PO-1107</t>
  </si>
  <si>
    <t xml:space="preserve">PO-1008</t>
  </si>
  <si>
    <t xml:space="preserve">PO-1087</t>
  </si>
  <si>
    <t xml:space="preserve">PO-1096</t>
  </si>
  <si>
    <t xml:space="preserve">PO-1077</t>
  </si>
  <si>
    <t xml:space="preserve">PO-1052</t>
  </si>
  <si>
    <t xml:space="preserve">PO-1025</t>
  </si>
  <si>
    <t xml:space="preserve">PO-1062</t>
  </si>
  <si>
    <t xml:space="preserve">PO-1012</t>
  </si>
  <si>
    <t xml:space="preserve">PO-1072</t>
  </si>
  <si>
    <t xml:space="preserve">PO-1040</t>
  </si>
  <si>
    <t xml:space="preserve">PO-1073</t>
  </si>
  <si>
    <t xml:space="preserve">CNR-0588</t>
  </si>
  <si>
    <t xml:space="preserve">PO-1053</t>
  </si>
  <si>
    <t xml:space="preserve">PO-1054</t>
  </si>
  <si>
    <t xml:space="preserve">PO-1055</t>
  </si>
  <si>
    <t xml:space="preserve">PO-1030</t>
  </si>
  <si>
    <t xml:space="preserve">PO-1092</t>
  </si>
  <si>
    <t xml:space="preserve">PO-1097</t>
  </si>
  <si>
    <t xml:space="preserve">PO-1110</t>
  </si>
  <si>
    <t xml:space="preserve">PO-1056</t>
  </si>
  <si>
    <t xml:space="preserve">PO-1013</t>
  </si>
  <si>
    <t xml:space="preserve">PO-1080</t>
  </si>
  <si>
    <t xml:space="preserve">PO-1081</t>
  </si>
  <si>
    <t xml:space="preserve">PO-1044</t>
  </si>
  <si>
    <t xml:space="preserve">THR-0231</t>
  </si>
  <si>
    <t xml:space="preserve">PO-1018</t>
  </si>
  <si>
    <t xml:space="preserve">PO-1041</t>
  </si>
  <si>
    <t xml:space="preserve">PO-1093</t>
  </si>
  <si>
    <t xml:space="preserve">PO-1111</t>
  </si>
  <si>
    <t xml:space="preserve">PO-1082</t>
  </si>
  <si>
    <t xml:space="preserve">PO-1014</t>
  </si>
  <si>
    <t xml:space="preserve">PO-1078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</si>
</sst>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\$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Labels" displayName="Labels" ref="A1:H41" headerRowCount="1" totalsRowCount="0" totalsRowShown="0">
  <autoFilter ref="A1:H41"/>
  <tableColumns count="8">
    <tableColumn id="1" name="Label"/>
    <tableColumn id="2" name="Type"/>
    <tableColumn id="3" name="ContactName"/>
    <tableColumn id="4" name="ContactEmail"/>
    <tableColumn id="5" name="LastOrderDate"/>
    <tableColumn id="6" name="LastOrderSize"/>
    <tableColumn id="7" name="LastContact"/>
    <tableColumn id="8" name="PopUpInterest"/>
  </tableColumns>
</table>
</file>

<file path=xl/tables/table2.xml><?xml version="1.0" encoding="utf-8"?>
<table xmlns="http://schemas.openxmlformats.org/spreadsheetml/2006/main" id="2" name="Orders" displayName="Orders" ref="A1:F112" headerRowCount="1" totalsRowCount="0" totalsRowShown="0">
  <autoFilter ref="A1:F112"/>
  <tableColumns count="6">
    <tableColumn id="1" name="OrderNo"/>
    <tableColumn id="2" name="Date"/>
    <tableColumn id="3" name="Label"/>
    <tableColumn id="4" name="Type"/>
    <tableColumn id="5" name="Units"/>
    <tableColumn id="6" name="Amou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6" min="5" style="0" width="14"/>
    <col collapsed="false" customWidth="true" hidden="false" outlineLevel="0" max="7" min="7" style="0" width="13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3" t="n">
        <f aca="false">IF(COUNTIF(Orders!$C$2:$C$112,A2)=0,"",_xlfn.MAXIFS(Orders!$B$2:$B$112,Orders!$C$2:$C$112,A2))</f>
        <v>46212</v>
      </c>
      <c r="F2" s="2" t="n">
        <f aca="false">IF(E2="","",SUMIFS(Orders!$E$2:$E$112,Orders!$C$2:$C$112,A2,Orders!$B$2:$B$112,E2))</f>
        <v>85</v>
      </c>
      <c r="G2" s="3" t="n">
        <v>46283</v>
      </c>
      <c r="H2" s="2" t="s">
        <v>12</v>
      </c>
    </row>
    <row r="3" customFormat="false" ht="15" hidden="false" customHeight="false" outlineLevel="0" collapsed="false">
      <c r="A3" s="2" t="s">
        <v>13</v>
      </c>
      <c r="B3" s="2" t="s">
        <v>9</v>
      </c>
      <c r="C3" s="2" t="s">
        <v>14</v>
      </c>
      <c r="D3" s="2" t="s">
        <v>15</v>
      </c>
      <c r="E3" s="3" t="n">
        <f aca="false">IF(COUNTIF(Orders!$C$2:$C$112,A3)=0,"",_xlfn.MAXIFS(Orders!$B$2:$B$112,Orders!$C$2:$C$112,A3))</f>
        <v>46254</v>
      </c>
      <c r="F3" s="2" t="n">
        <f aca="false">IF(E3="","",SUMIFS(Orders!$E$2:$E$112,Orders!$C$2:$C$112,A3,Orders!$B$2:$B$112,E3))</f>
        <v>30</v>
      </c>
      <c r="G3" s="3" t="n">
        <v>46254</v>
      </c>
      <c r="H3" s="2" t="s">
        <v>16</v>
      </c>
    </row>
    <row r="4" customFormat="false" ht="15" hidden="false" customHeight="false" outlineLevel="0" collapsed="false">
      <c r="A4" s="2" t="s">
        <v>17</v>
      </c>
      <c r="B4" s="2" t="s">
        <v>9</v>
      </c>
      <c r="C4" s="2" t="s">
        <v>18</v>
      </c>
      <c r="D4" s="2" t="s">
        <v>19</v>
      </c>
      <c r="E4" s="3" t="n">
        <f aca="false">IF(COUNTIF(Orders!$C$2:$C$112,A4)=0,"",_xlfn.MAXIFS(Orders!$B$2:$B$112,Orders!$C$2:$C$112,A4))</f>
        <v>46177</v>
      </c>
      <c r="F4" s="2" t="n">
        <f aca="false">IF(E4="","",SUMIFS(Orders!$E$2:$E$112,Orders!$C$2:$C$112,A4,Orders!$B$2:$B$112,E4))</f>
        <v>15</v>
      </c>
      <c r="G4" s="3" t="n">
        <v>46258</v>
      </c>
      <c r="H4" s="2" t="s">
        <v>12</v>
      </c>
    </row>
    <row r="5" customFormat="false" ht="15" hidden="false" customHeight="false" outlineLevel="0" collapsed="false">
      <c r="A5" s="2" t="s">
        <v>20</v>
      </c>
      <c r="B5" s="2" t="s">
        <v>9</v>
      </c>
      <c r="C5" s="2" t="s">
        <v>21</v>
      </c>
      <c r="D5" s="2" t="s">
        <v>22</v>
      </c>
      <c r="E5" s="3" t="n">
        <f aca="false">IF(COUNTIF(Orders!$C$2:$C$112,A5)=0,"",_xlfn.MAXIFS(Orders!$B$2:$B$112,Orders!$C$2:$C$112,A5))</f>
        <v>45989</v>
      </c>
      <c r="F5" s="2" t="n">
        <f aca="false">IF(E5="","",SUMIFS(Orders!$E$2:$E$112,Orders!$C$2:$C$112,A5,Orders!$B$2:$B$112,E5))</f>
        <v>20</v>
      </c>
      <c r="G5" s="3" t="n">
        <v>46105</v>
      </c>
      <c r="H5" s="2" t="s">
        <v>23</v>
      </c>
    </row>
    <row r="6" customFormat="false" ht="15" hidden="false" customHeight="false" outlineLevel="0" collapsed="false">
      <c r="A6" s="2" t="s">
        <v>24</v>
      </c>
      <c r="B6" s="2" t="s">
        <v>9</v>
      </c>
      <c r="C6" s="2" t="s">
        <v>25</v>
      </c>
      <c r="D6" s="2" t="s">
        <v>26</v>
      </c>
      <c r="E6" s="3" t="n">
        <f aca="false">IF(COUNTIF(Orders!$C$2:$C$112,A6)=0,"",_xlfn.MAXIFS(Orders!$B$2:$B$112,Orders!$C$2:$C$112,A6))</f>
        <v>46138</v>
      </c>
      <c r="F6" s="2" t="n">
        <f aca="false">IF(E6="","",SUMIFS(Orders!$E$2:$E$112,Orders!$C$2:$C$112,A6,Orders!$B$2:$B$112,E6))</f>
        <v>30</v>
      </c>
      <c r="G6" s="3" t="n">
        <v>46262</v>
      </c>
      <c r="H6" s="2" t="s">
        <v>16</v>
      </c>
    </row>
    <row r="7" customFormat="false" ht="15" hidden="false" customHeight="false" outlineLevel="0" collapsed="false">
      <c r="A7" s="2" t="s">
        <v>27</v>
      </c>
      <c r="B7" s="2" t="s">
        <v>9</v>
      </c>
      <c r="C7" s="2" t="s">
        <v>28</v>
      </c>
      <c r="D7" s="2" t="s">
        <v>29</v>
      </c>
      <c r="E7" s="3" t="n">
        <f aca="false">IF(COUNTIF(Orders!$C$2:$C$112,A7)=0,"",_xlfn.MAXIFS(Orders!$B$2:$B$112,Orders!$C$2:$C$112,A7))</f>
        <v>46270</v>
      </c>
      <c r="F7" s="2" t="n">
        <f aca="false">IF(E7="","",SUMIFS(Orders!$E$2:$E$112,Orders!$C$2:$C$112,A7,Orders!$B$2:$B$112,E7))</f>
        <v>12</v>
      </c>
      <c r="G7" s="3" t="n">
        <v>46138</v>
      </c>
      <c r="H7" s="2" t="s">
        <v>16</v>
      </c>
    </row>
    <row r="8" customFormat="false" ht="15" hidden="false" customHeight="false" outlineLevel="0" collapsed="false">
      <c r="A8" s="2" t="s">
        <v>30</v>
      </c>
      <c r="B8" s="2" t="s">
        <v>31</v>
      </c>
      <c r="C8" s="2" t="s">
        <v>32</v>
      </c>
      <c r="D8" s="2" t="s">
        <v>33</v>
      </c>
      <c r="E8" s="3" t="n">
        <f aca="false">IF(COUNTIF(Orders!$C$2:$C$112,A8)=0,"",_xlfn.MAXIFS(Orders!$B$2:$B$112,Orders!$C$2:$C$112,A8))</f>
        <v>46147</v>
      </c>
      <c r="F8" s="2" t="n">
        <f aca="false">IF(E8="","",SUMIFS(Orders!$E$2:$E$112,Orders!$C$2:$C$112,A8,Orders!$B$2:$B$112,E8))</f>
        <v>15</v>
      </c>
      <c r="G8" s="3" t="n">
        <v>46165</v>
      </c>
      <c r="H8" s="2" t="s">
        <v>34</v>
      </c>
    </row>
    <row r="9" customFormat="false" ht="15" hidden="false" customHeight="false" outlineLevel="0" collapsed="false">
      <c r="A9" s="2" t="s">
        <v>35</v>
      </c>
      <c r="B9" s="2" t="s">
        <v>31</v>
      </c>
      <c r="C9" s="2" t="s">
        <v>36</v>
      </c>
      <c r="D9" s="2" t="s">
        <v>37</v>
      </c>
      <c r="E9" s="3" t="n">
        <f aca="false">IF(COUNTIF(Orders!$C$2:$C$112,A9)=0,"",_xlfn.MAXIFS(Orders!$B$2:$B$112,Orders!$C$2:$C$112,A9))</f>
        <v>46255</v>
      </c>
      <c r="F9" s="2" t="n">
        <f aca="false">IF(E9="","",SUMIFS(Orders!$E$2:$E$112,Orders!$C$2:$C$112,A9,Orders!$B$2:$B$112,E9))</f>
        <v>10</v>
      </c>
      <c r="G9" s="3" t="n">
        <v>46087</v>
      </c>
      <c r="H9" s="2" t="s">
        <v>34</v>
      </c>
    </row>
    <row r="10" customFormat="false" ht="15" hidden="false" customHeight="false" outlineLevel="0" collapsed="false">
      <c r="A10" s="2" t="s">
        <v>38</v>
      </c>
      <c r="B10" s="2" t="s">
        <v>9</v>
      </c>
      <c r="C10" s="2" t="s">
        <v>39</v>
      </c>
      <c r="D10" s="2" t="s">
        <v>40</v>
      </c>
      <c r="E10" s="3" t="n">
        <f aca="false">IF(COUNTIF(Orders!$C$2:$C$112,A10)=0,"",_xlfn.MAXIFS(Orders!$B$2:$B$112,Orders!$C$2:$C$112,A10))</f>
        <v>46021</v>
      </c>
      <c r="F10" s="2" t="n">
        <f aca="false">IF(E10="","",SUMIFS(Orders!$E$2:$E$112,Orders!$C$2:$C$112,A10,Orders!$B$2:$B$112,E10))</f>
        <v>60</v>
      </c>
      <c r="G10" s="3" t="n">
        <v>46205</v>
      </c>
      <c r="H10" s="2" t="s">
        <v>23</v>
      </c>
    </row>
    <row r="11" customFormat="false" ht="15" hidden="false" customHeight="false" outlineLevel="0" collapsed="false">
      <c r="A11" s="2" t="s">
        <v>41</v>
      </c>
      <c r="B11" s="2" t="s">
        <v>42</v>
      </c>
      <c r="C11" s="2" t="s">
        <v>43</v>
      </c>
      <c r="D11" s="2" t="s">
        <v>44</v>
      </c>
      <c r="E11" s="3" t="n">
        <f aca="false">IF(COUNTIF(Orders!$C$2:$C$112,A11)=0,"",_xlfn.MAXIFS(Orders!$B$2:$B$112,Orders!$C$2:$C$112,A11))</f>
        <v>46189</v>
      </c>
      <c r="F11" s="2" t="n">
        <f aca="false">IF(E11="","",SUMIFS(Orders!$E$2:$E$112,Orders!$C$2:$C$112,A11,Orders!$B$2:$B$112,E11))</f>
        <v>30</v>
      </c>
      <c r="G11" s="3" t="n">
        <v>46127</v>
      </c>
      <c r="H11" s="2" t="s">
        <v>45</v>
      </c>
    </row>
    <row r="12" customFormat="false" ht="15" hidden="false" customHeight="false" outlineLevel="0" collapsed="false">
      <c r="A12" s="2" t="s">
        <v>46</v>
      </c>
      <c r="B12" s="2" t="s">
        <v>42</v>
      </c>
      <c r="C12" s="2" t="s">
        <v>47</v>
      </c>
      <c r="D12" s="2" t="s">
        <v>48</v>
      </c>
      <c r="E12" s="3" t="n">
        <f aca="false">IF(COUNTIF(Orders!$C$2:$C$112,A12)=0,"",_xlfn.MAXIFS(Orders!$B$2:$B$112,Orders!$C$2:$C$112,A12))</f>
        <v>45962</v>
      </c>
      <c r="F12" s="2" t="n">
        <f aca="false">IF(E12="","",SUMIFS(Orders!$E$2:$E$112,Orders!$C$2:$C$112,A12,Orders!$B$2:$B$112,E12))</f>
        <v>15</v>
      </c>
      <c r="G12" s="3" t="n">
        <v>46242</v>
      </c>
      <c r="H12" s="2" t="s">
        <v>23</v>
      </c>
    </row>
    <row r="13" customFormat="false" ht="15" hidden="false" customHeight="false" outlineLevel="0" collapsed="false">
      <c r="A13" s="2" t="s">
        <v>49</v>
      </c>
      <c r="B13" s="2" t="s">
        <v>50</v>
      </c>
      <c r="C13" s="2" t="s">
        <v>51</v>
      </c>
      <c r="D13" s="2" t="s">
        <v>52</v>
      </c>
      <c r="E13" s="3" t="n">
        <f aca="false">IF(COUNTIF(Orders!$C$2:$C$112,A13)=0,"",_xlfn.MAXIFS(Orders!$B$2:$B$112,Orders!$C$2:$C$112,A13))</f>
        <v>46221</v>
      </c>
      <c r="F13" s="2" t="n">
        <f aca="false">IF(E13="","",SUMIFS(Orders!$E$2:$E$112,Orders!$C$2:$C$112,A13,Orders!$B$2:$B$112,E13))</f>
        <v>50</v>
      </c>
      <c r="G13" s="3" t="n">
        <v>46218</v>
      </c>
      <c r="H13" s="2" t="s">
        <v>34</v>
      </c>
    </row>
    <row r="14" customFormat="false" ht="15" hidden="false" customHeight="false" outlineLevel="0" collapsed="false">
      <c r="A14" s="2" t="s">
        <v>53</v>
      </c>
      <c r="B14" s="2" t="s">
        <v>50</v>
      </c>
      <c r="C14" s="2" t="s">
        <v>54</v>
      </c>
      <c r="D14" s="2" t="s">
        <v>55</v>
      </c>
      <c r="E14" s="3" t="n">
        <f aca="false">IF(COUNTIF(Orders!$C$2:$C$112,A14)=0,"",_xlfn.MAXIFS(Orders!$B$2:$B$112,Orders!$C$2:$C$112,A14))</f>
        <v>46007</v>
      </c>
      <c r="F14" s="2" t="n">
        <f aca="false">IF(E14="","",SUMIFS(Orders!$E$2:$E$112,Orders!$C$2:$C$112,A14,Orders!$B$2:$B$112,E14))</f>
        <v>15</v>
      </c>
      <c r="G14" s="3" t="n">
        <v>46172</v>
      </c>
      <c r="H14" s="2" t="s">
        <v>16</v>
      </c>
    </row>
    <row r="15" customFormat="false" ht="15" hidden="false" customHeight="false" outlineLevel="0" collapsed="false">
      <c r="A15" s="2" t="s">
        <v>56</v>
      </c>
      <c r="B15" s="2" t="s">
        <v>9</v>
      </c>
      <c r="C15" s="2" t="s">
        <v>57</v>
      </c>
      <c r="D15" s="2" t="s">
        <v>58</v>
      </c>
      <c r="E15" s="3" t="n">
        <f aca="false">IF(COUNTIF(Orders!$C$2:$C$112,A15)=0,"",_xlfn.MAXIFS(Orders!$B$2:$B$112,Orders!$C$2:$C$112,A15))</f>
        <v>46092</v>
      </c>
      <c r="F15" s="2" t="n">
        <f aca="false">IF(E15="","",SUMIFS(Orders!$E$2:$E$112,Orders!$C$2:$C$112,A15,Orders!$B$2:$B$112,E15))</f>
        <v>60</v>
      </c>
      <c r="G15" s="3" t="n">
        <v>46172</v>
      </c>
      <c r="H15" s="2" t="s">
        <v>16</v>
      </c>
    </row>
    <row r="16" customFormat="false" ht="15" hidden="false" customHeight="false" outlineLevel="0" collapsed="false">
      <c r="A16" s="2" t="s">
        <v>59</v>
      </c>
      <c r="B16" s="2" t="s">
        <v>9</v>
      </c>
      <c r="C16" s="2" t="s">
        <v>60</v>
      </c>
      <c r="D16" s="2" t="s">
        <v>61</v>
      </c>
      <c r="E16" s="3" t="n">
        <f aca="false">IF(COUNTIF(Orders!$C$2:$C$112,A16)=0,"",_xlfn.MAXIFS(Orders!$B$2:$B$112,Orders!$C$2:$C$112,A16))</f>
        <v>46048</v>
      </c>
      <c r="F16" s="2" t="n">
        <f aca="false">IF(E16="","",SUMIFS(Orders!$E$2:$E$112,Orders!$C$2:$C$112,A16,Orders!$B$2:$B$112,E16))</f>
        <v>20</v>
      </c>
      <c r="G16" s="3" t="n">
        <v>46232</v>
      </c>
      <c r="H16" s="2" t="s">
        <v>34</v>
      </c>
    </row>
    <row r="17" customFormat="false" ht="15" hidden="false" customHeight="false" outlineLevel="0" collapsed="false">
      <c r="A17" s="2" t="s">
        <v>62</v>
      </c>
      <c r="B17" s="2" t="s">
        <v>63</v>
      </c>
      <c r="C17" s="2" t="s">
        <v>64</v>
      </c>
      <c r="D17" s="2" t="s">
        <v>65</v>
      </c>
      <c r="E17" s="3" t="n">
        <f aca="false">IF(COUNTIF(Orders!$C$2:$C$112,A17)=0,"",_xlfn.MAXIFS(Orders!$B$2:$B$112,Orders!$C$2:$C$112,A17))</f>
        <v>46256</v>
      </c>
      <c r="F17" s="2" t="n">
        <f aca="false">IF(E17="","",SUMIFS(Orders!$E$2:$E$112,Orders!$C$2:$C$112,A17,Orders!$B$2:$B$112,E17))</f>
        <v>20</v>
      </c>
      <c r="G17" s="3" t="n">
        <v>46131</v>
      </c>
      <c r="H17" s="2" t="s">
        <v>16</v>
      </c>
    </row>
    <row r="18" customFormat="false" ht="15" hidden="false" customHeight="false" outlineLevel="0" collapsed="false">
      <c r="A18" s="2" t="s">
        <v>66</v>
      </c>
      <c r="B18" s="2" t="s">
        <v>9</v>
      </c>
      <c r="C18" s="2" t="s">
        <v>67</v>
      </c>
      <c r="D18" s="2" t="s">
        <v>68</v>
      </c>
      <c r="E18" s="3" t="n">
        <f aca="false">IF(COUNTIF(Orders!$C$2:$C$112,A18)=0,"",_xlfn.MAXIFS(Orders!$B$2:$B$112,Orders!$C$2:$C$112,A18))</f>
        <v>46252</v>
      </c>
      <c r="F18" s="2" t="n">
        <f aca="false">IF(E18="","",SUMIFS(Orders!$E$2:$E$112,Orders!$C$2:$C$112,A18,Orders!$B$2:$B$112,E18))</f>
        <v>24</v>
      </c>
      <c r="G18" s="3" t="n">
        <v>46187</v>
      </c>
      <c r="H18" s="2" t="s">
        <v>16</v>
      </c>
    </row>
    <row r="19" customFormat="false" ht="15" hidden="false" customHeight="false" outlineLevel="0" collapsed="false">
      <c r="A19" s="2" t="s">
        <v>69</v>
      </c>
      <c r="B19" s="2" t="s">
        <v>70</v>
      </c>
      <c r="C19" s="2" t="s">
        <v>71</v>
      </c>
      <c r="D19" s="2" t="s">
        <v>72</v>
      </c>
      <c r="E19" s="3" t="n">
        <f aca="false">IF(COUNTIF(Orders!$C$2:$C$112,A19)=0,"",_xlfn.MAXIFS(Orders!$B$2:$B$112,Orders!$C$2:$C$112,A19))</f>
        <v>46088</v>
      </c>
      <c r="F19" s="2" t="n">
        <f aca="false">IF(E19="","",SUMIFS(Orders!$E$2:$E$112,Orders!$C$2:$C$112,A19,Orders!$B$2:$B$112,E19))</f>
        <v>15</v>
      </c>
      <c r="G19" s="3" t="n">
        <v>46160</v>
      </c>
      <c r="H19" s="2" t="s">
        <v>34</v>
      </c>
    </row>
    <row r="20" customFormat="false" ht="15" hidden="false" customHeight="false" outlineLevel="0" collapsed="false">
      <c r="A20" s="2" t="s">
        <v>73</v>
      </c>
      <c r="B20" s="2" t="s">
        <v>70</v>
      </c>
      <c r="C20" s="2" t="s">
        <v>74</v>
      </c>
      <c r="D20" s="2" t="s">
        <v>75</v>
      </c>
      <c r="E20" s="3" t="n">
        <f aca="false">IF(COUNTIF(Orders!$C$2:$C$112,A20)=0,"",_xlfn.MAXIFS(Orders!$B$2:$B$112,Orders!$C$2:$C$112,A20))</f>
        <v>46160</v>
      </c>
      <c r="F20" s="2" t="n">
        <f aca="false">IF(E20="","",SUMIFS(Orders!$E$2:$E$112,Orders!$C$2:$C$112,A20,Orders!$B$2:$B$112,E20))</f>
        <v>10</v>
      </c>
      <c r="G20" s="3" t="n">
        <v>46125</v>
      </c>
      <c r="H20" s="2" t="s">
        <v>16</v>
      </c>
    </row>
    <row r="21" customFormat="false" ht="15" hidden="false" customHeight="false" outlineLevel="0" collapsed="false">
      <c r="A21" s="2" t="s">
        <v>76</v>
      </c>
      <c r="B21" s="2" t="s">
        <v>31</v>
      </c>
      <c r="C21" s="2" t="s">
        <v>77</v>
      </c>
      <c r="D21" s="2" t="s">
        <v>78</v>
      </c>
      <c r="E21" s="3" t="n">
        <f aca="false">IF(COUNTIF(Orders!$C$2:$C$112,A21)=0,"",_xlfn.MAXIFS(Orders!$B$2:$B$112,Orders!$C$2:$C$112,A21))</f>
        <v>46212</v>
      </c>
      <c r="F21" s="2" t="n">
        <f aca="false">IF(E21="","",SUMIFS(Orders!$E$2:$E$112,Orders!$C$2:$C$112,A21,Orders!$B$2:$B$112,E21))</f>
        <v>40</v>
      </c>
      <c r="G21" s="3" t="n">
        <v>46209</v>
      </c>
      <c r="H21" s="2" t="s">
        <v>23</v>
      </c>
    </row>
    <row r="22" customFormat="false" ht="15" hidden="false" customHeight="false" outlineLevel="0" collapsed="false">
      <c r="A22" s="2" t="s">
        <v>79</v>
      </c>
      <c r="B22" s="2" t="s">
        <v>80</v>
      </c>
      <c r="C22" s="2" t="s">
        <v>81</v>
      </c>
      <c r="D22" s="2" t="s">
        <v>82</v>
      </c>
      <c r="E22" s="3" t="n">
        <f aca="false">IF(COUNTIF(Orders!$C$2:$C$112,A22)=0,"",_xlfn.MAXIFS(Orders!$B$2:$B$112,Orders!$C$2:$C$112,A22))</f>
        <v>46244</v>
      </c>
      <c r="F22" s="2" t="n">
        <f aca="false">IF(E22="","",SUMIFS(Orders!$E$2:$E$112,Orders!$C$2:$C$112,A22,Orders!$B$2:$B$112,E22))</f>
        <v>20</v>
      </c>
      <c r="G22" s="3" t="n">
        <v>46262</v>
      </c>
      <c r="H22" s="2" t="s">
        <v>16</v>
      </c>
    </row>
    <row r="23" customFormat="false" ht="15" hidden="false" customHeight="false" outlineLevel="0" collapsed="false">
      <c r="A23" s="2" t="s">
        <v>83</v>
      </c>
      <c r="B23" s="2" t="s">
        <v>9</v>
      </c>
      <c r="C23" s="2" t="s">
        <v>84</v>
      </c>
      <c r="D23" s="2" t="s">
        <v>85</v>
      </c>
      <c r="E23" s="3" t="n">
        <f aca="false">IF(COUNTIF(Orders!$C$2:$C$112,A23)=0,"",_xlfn.MAXIFS(Orders!$B$2:$B$112,Orders!$C$2:$C$112,A23))</f>
        <v>46118</v>
      </c>
      <c r="F23" s="2" t="n">
        <f aca="false">IF(E23="","",SUMIFS(Orders!$E$2:$E$112,Orders!$C$2:$C$112,A23,Orders!$B$2:$B$112,E23))</f>
        <v>12</v>
      </c>
      <c r="G23" s="3" t="n">
        <v>46246</v>
      </c>
      <c r="H23" s="2" t="s">
        <v>34</v>
      </c>
    </row>
    <row r="24" customFormat="false" ht="15" hidden="false" customHeight="false" outlineLevel="0" collapsed="false">
      <c r="A24" s="2" t="s">
        <v>86</v>
      </c>
      <c r="B24" s="2" t="s">
        <v>87</v>
      </c>
      <c r="C24" s="2" t="s">
        <v>88</v>
      </c>
      <c r="D24" s="2" t="s">
        <v>89</v>
      </c>
      <c r="E24" s="3" t="n">
        <f aca="false">IF(COUNTIF(Orders!$C$2:$C$112,A24)=0,"",_xlfn.MAXIFS(Orders!$B$2:$B$112,Orders!$C$2:$C$112,A24))</f>
        <v>46190</v>
      </c>
      <c r="F24" s="2" t="n">
        <f aca="false">IF(E24="","",SUMIFS(Orders!$E$2:$E$112,Orders!$C$2:$C$112,A24,Orders!$B$2:$B$112,E24))</f>
        <v>25</v>
      </c>
      <c r="G24" s="3" t="n">
        <v>46075</v>
      </c>
      <c r="H24" s="2" t="s">
        <v>16</v>
      </c>
    </row>
    <row r="25" customFormat="false" ht="15" hidden="false" customHeight="false" outlineLevel="0" collapsed="false">
      <c r="A25" s="2" t="s">
        <v>90</v>
      </c>
      <c r="B25" s="2" t="s">
        <v>87</v>
      </c>
      <c r="C25" s="2" t="s">
        <v>91</v>
      </c>
      <c r="D25" s="2" t="s">
        <v>92</v>
      </c>
      <c r="E25" s="3" t="n">
        <f aca="false">IF(COUNTIF(Orders!$C$2:$C$112,A25)=0,"",_xlfn.MAXIFS(Orders!$B$2:$B$112,Orders!$C$2:$C$112,A25))</f>
        <v>46011</v>
      </c>
      <c r="F25" s="2" t="n">
        <f aca="false">IF(E25="","",SUMIFS(Orders!$E$2:$E$112,Orders!$C$2:$C$112,A25,Orders!$B$2:$B$112,E25))</f>
        <v>20</v>
      </c>
      <c r="G25" s="3" t="n">
        <v>46228</v>
      </c>
      <c r="H25" s="2" t="s">
        <v>16</v>
      </c>
    </row>
    <row r="26" customFormat="false" ht="15" hidden="false" customHeight="false" outlineLevel="0" collapsed="false">
      <c r="A26" s="2" t="s">
        <v>93</v>
      </c>
      <c r="B26" s="2" t="s">
        <v>94</v>
      </c>
      <c r="C26" s="2" t="s">
        <v>95</v>
      </c>
      <c r="D26" s="2" t="s">
        <v>96</v>
      </c>
      <c r="E26" s="3" t="n">
        <f aca="false">IF(COUNTIF(Orders!$C$2:$C$112,A26)=0,"",_xlfn.MAXIFS(Orders!$B$2:$B$112,Orders!$C$2:$C$112,A26))</f>
        <v>46173</v>
      </c>
      <c r="F26" s="2" t="n">
        <f aca="false">IF(E26="","",SUMIFS(Orders!$E$2:$E$112,Orders!$C$2:$C$112,A26,Orders!$B$2:$B$112,E26))</f>
        <v>10</v>
      </c>
      <c r="G26" s="3" t="n">
        <v>46139</v>
      </c>
      <c r="H26" s="2" t="s">
        <v>34</v>
      </c>
    </row>
    <row r="27" customFormat="false" ht="15" hidden="false" customHeight="false" outlineLevel="0" collapsed="false">
      <c r="A27" s="2" t="s">
        <v>97</v>
      </c>
      <c r="B27" s="2" t="s">
        <v>9</v>
      </c>
      <c r="C27" s="2" t="s">
        <v>98</v>
      </c>
      <c r="D27" s="2" t="s">
        <v>99</v>
      </c>
      <c r="E27" s="3" t="n">
        <f aca="false">IF(COUNTIF(Orders!$C$2:$C$112,A27)=0,"",_xlfn.MAXIFS(Orders!$B$2:$B$112,Orders!$C$2:$C$112,A27))</f>
        <v>46208</v>
      </c>
      <c r="F27" s="2" t="n">
        <f aca="false">IF(E27="","",SUMIFS(Orders!$E$2:$E$112,Orders!$C$2:$C$112,A27,Orders!$B$2:$B$112,E27))</f>
        <v>12</v>
      </c>
      <c r="G27" s="3" t="n">
        <v>46146</v>
      </c>
      <c r="H27" s="2" t="s">
        <v>23</v>
      </c>
    </row>
    <row r="28" customFormat="false" ht="15" hidden="false" customHeight="false" outlineLevel="0" collapsed="false">
      <c r="A28" s="2" t="s">
        <v>100</v>
      </c>
      <c r="B28" s="2" t="s">
        <v>9</v>
      </c>
      <c r="C28" s="2" t="s">
        <v>101</v>
      </c>
      <c r="D28" s="2" t="s">
        <v>102</v>
      </c>
      <c r="E28" s="3" t="n">
        <f aca="false">IF(COUNTIF(Orders!$C$2:$C$112,A28)=0,"",_xlfn.MAXIFS(Orders!$B$2:$B$112,Orders!$C$2:$C$112,A28))</f>
        <v>46273</v>
      </c>
      <c r="F28" s="2" t="n">
        <f aca="false">IF(E28="","",SUMIFS(Orders!$E$2:$E$112,Orders!$C$2:$C$112,A28,Orders!$B$2:$B$112,E28))</f>
        <v>60</v>
      </c>
      <c r="G28" s="3" t="n">
        <v>46227</v>
      </c>
      <c r="H28" s="2" t="s">
        <v>23</v>
      </c>
    </row>
    <row r="29" customFormat="false" ht="15" hidden="false" customHeight="false" outlineLevel="0" collapsed="false">
      <c r="A29" s="2" t="s">
        <v>103</v>
      </c>
      <c r="B29" s="2" t="s">
        <v>31</v>
      </c>
      <c r="C29" s="2" t="s">
        <v>104</v>
      </c>
      <c r="D29" s="2" t="s">
        <v>105</v>
      </c>
      <c r="E29" s="3" t="n">
        <f aca="false">IF(COUNTIF(Orders!$C$2:$C$112,A29)=0,"",_xlfn.MAXIFS(Orders!$B$2:$B$112,Orders!$C$2:$C$112,A29))</f>
        <v>46251</v>
      </c>
      <c r="F29" s="2" t="n">
        <f aca="false">IF(E29="","",SUMIFS(Orders!$E$2:$E$112,Orders!$C$2:$C$112,A29,Orders!$B$2:$B$112,E29))</f>
        <v>30</v>
      </c>
      <c r="G29" s="3" t="n">
        <v>46227</v>
      </c>
      <c r="H29" s="2" t="s">
        <v>23</v>
      </c>
    </row>
    <row r="30" customFormat="false" ht="15" hidden="false" customHeight="false" outlineLevel="0" collapsed="false">
      <c r="A30" s="2" t="s">
        <v>106</v>
      </c>
      <c r="B30" s="2" t="s">
        <v>42</v>
      </c>
      <c r="C30" s="2" t="s">
        <v>107</v>
      </c>
      <c r="D30" s="2" t="s">
        <v>108</v>
      </c>
      <c r="E30" s="3" t="n">
        <f aca="false">IF(COUNTIF(Orders!$C$2:$C$112,A30)=0,"",_xlfn.MAXIFS(Orders!$B$2:$B$112,Orders!$C$2:$C$112,A30))</f>
        <v>46263</v>
      </c>
      <c r="F30" s="2" t="n">
        <f aca="false">IF(E30="","",SUMIFS(Orders!$E$2:$E$112,Orders!$C$2:$C$112,A30,Orders!$B$2:$B$112,E30))</f>
        <v>40</v>
      </c>
      <c r="G30" s="3" t="n">
        <v>46193</v>
      </c>
      <c r="H30" s="2" t="s">
        <v>23</v>
      </c>
    </row>
    <row r="31" customFormat="false" ht="15" hidden="false" customHeight="false" outlineLevel="0" collapsed="false">
      <c r="A31" s="2" t="s">
        <v>109</v>
      </c>
      <c r="B31" s="2" t="s">
        <v>110</v>
      </c>
      <c r="C31" s="2" t="s">
        <v>111</v>
      </c>
      <c r="D31" s="2" t="s">
        <v>112</v>
      </c>
      <c r="E31" s="3" t="n">
        <f aca="false">IF(COUNTIF(Orders!$C$2:$C$112,A31)=0,"",_xlfn.MAXIFS(Orders!$B$2:$B$112,Orders!$C$2:$C$112,A31))</f>
        <v>46177</v>
      </c>
      <c r="F31" s="2" t="n">
        <f aca="false">IF(E31="","",SUMIFS(Orders!$E$2:$E$112,Orders!$C$2:$C$112,A31,Orders!$B$2:$B$112,E31))</f>
        <v>30</v>
      </c>
      <c r="G31" s="3" t="n">
        <v>46103</v>
      </c>
      <c r="H31" s="2" t="s">
        <v>16</v>
      </c>
    </row>
    <row r="32" customFormat="false" ht="15" hidden="false" customHeight="false" outlineLevel="0" collapsed="false">
      <c r="A32" s="2" t="s">
        <v>113</v>
      </c>
      <c r="B32" s="2" t="s">
        <v>110</v>
      </c>
      <c r="C32" s="2" t="s">
        <v>114</v>
      </c>
      <c r="D32" s="2" t="s">
        <v>115</v>
      </c>
      <c r="E32" s="3" t="n">
        <f aca="false">IF(COUNTIF(Orders!$C$2:$C$112,A32)=0,"",_xlfn.MAXIFS(Orders!$B$2:$B$112,Orders!$C$2:$C$112,A32))</f>
        <v>46017</v>
      </c>
      <c r="F32" s="2" t="n">
        <f aca="false">IF(E32="","",SUMIFS(Orders!$E$2:$E$112,Orders!$C$2:$C$112,A32,Orders!$B$2:$B$112,E32))</f>
        <v>30</v>
      </c>
      <c r="G32" s="3" t="n">
        <v>46248</v>
      </c>
      <c r="H32" s="2" t="s">
        <v>16</v>
      </c>
    </row>
    <row r="33" customFormat="false" ht="15" hidden="false" customHeight="false" outlineLevel="0" collapsed="false">
      <c r="A33" s="2" t="s">
        <v>116</v>
      </c>
      <c r="B33" s="2" t="s">
        <v>117</v>
      </c>
      <c r="C33" s="2" t="s">
        <v>118</v>
      </c>
      <c r="D33" s="2" t="s">
        <v>119</v>
      </c>
      <c r="E33" s="3" t="n">
        <f aca="false">IF(COUNTIF(Orders!$C$2:$C$112,A33)=0,"",_xlfn.MAXIFS(Orders!$B$2:$B$112,Orders!$C$2:$C$112,A33))</f>
        <v>46160</v>
      </c>
      <c r="F33" s="2" t="n">
        <f aca="false">IF(E33="","",SUMIFS(Orders!$E$2:$E$112,Orders!$C$2:$C$112,A33,Orders!$B$2:$B$112,E33))</f>
        <v>15</v>
      </c>
      <c r="G33" s="3" t="n">
        <v>46219</v>
      </c>
      <c r="H33" s="2" t="s">
        <v>16</v>
      </c>
    </row>
    <row r="34" customFormat="false" ht="15" hidden="false" customHeight="false" outlineLevel="0" collapsed="false">
      <c r="A34" s="2" t="s">
        <v>120</v>
      </c>
      <c r="B34" s="2" t="s">
        <v>121</v>
      </c>
      <c r="C34" s="2" t="s">
        <v>122</v>
      </c>
      <c r="D34" s="2" t="s">
        <v>123</v>
      </c>
      <c r="E34" s="3" t="n">
        <f aca="false">IF(COUNTIF(Orders!$C$2:$C$112,A34)=0,"",_xlfn.MAXIFS(Orders!$B$2:$B$112,Orders!$C$2:$C$112,A34))</f>
        <v>46257</v>
      </c>
      <c r="F34" s="2" t="n">
        <f aca="false">IF(E34="","",SUMIFS(Orders!$E$2:$E$112,Orders!$C$2:$C$112,A34,Orders!$B$2:$B$112,E34))</f>
        <v>60</v>
      </c>
      <c r="G34" s="3" t="n">
        <v>46093</v>
      </c>
      <c r="H34" s="2" t="s">
        <v>34</v>
      </c>
    </row>
    <row r="35" customFormat="false" ht="15" hidden="false" customHeight="false" outlineLevel="0" collapsed="false">
      <c r="A35" s="2" t="s">
        <v>124</v>
      </c>
      <c r="B35" s="2" t="s">
        <v>121</v>
      </c>
      <c r="C35" s="2" t="s">
        <v>125</v>
      </c>
      <c r="D35" s="2" t="s">
        <v>126</v>
      </c>
      <c r="E35" s="3" t="n">
        <f aca="false">IF(COUNTIF(Orders!$C$2:$C$112,A35)=0,"",_xlfn.MAXIFS(Orders!$B$2:$B$112,Orders!$C$2:$C$112,A35))</f>
        <v>46229</v>
      </c>
      <c r="F35" s="2" t="n">
        <f aca="false">IF(E35="","",SUMIFS(Orders!$E$2:$E$112,Orders!$C$2:$C$112,A35,Orders!$B$2:$B$112,E35))</f>
        <v>30</v>
      </c>
      <c r="G35" s="3" t="n">
        <v>46174</v>
      </c>
      <c r="H35" s="2" t="s">
        <v>23</v>
      </c>
    </row>
    <row r="36" customFormat="false" ht="15" hidden="false" customHeight="false" outlineLevel="0" collapsed="false">
      <c r="A36" s="2" t="s">
        <v>127</v>
      </c>
      <c r="B36" s="2" t="s">
        <v>128</v>
      </c>
      <c r="C36" s="2" t="s">
        <v>129</v>
      </c>
      <c r="D36" s="2" t="s">
        <v>130</v>
      </c>
      <c r="E36" s="3" t="n">
        <f aca="false">IF(COUNTIF(Orders!$C$2:$C$112,A36)=0,"",_xlfn.MAXIFS(Orders!$B$2:$B$112,Orders!$C$2:$C$112,A36))</f>
        <v>46056</v>
      </c>
      <c r="F36" s="2" t="n">
        <f aca="false">IF(E36="","",SUMIFS(Orders!$E$2:$E$112,Orders!$C$2:$C$112,A36,Orders!$B$2:$B$112,E36))</f>
        <v>15</v>
      </c>
      <c r="G36" s="3" t="n">
        <v>46176</v>
      </c>
      <c r="H36" s="2" t="s">
        <v>16</v>
      </c>
    </row>
    <row r="37" customFormat="false" ht="15" hidden="false" customHeight="false" outlineLevel="0" collapsed="false">
      <c r="A37" s="2" t="s">
        <v>131</v>
      </c>
      <c r="B37" s="2" t="s">
        <v>9</v>
      </c>
      <c r="C37" s="2" t="s">
        <v>132</v>
      </c>
      <c r="D37" s="2" t="s">
        <v>133</v>
      </c>
      <c r="E37" s="3" t="n">
        <f aca="false">IF(COUNTIF(Orders!$C$2:$C$112,A37)=0,"",_xlfn.MAXIFS(Orders!$B$2:$B$112,Orders!$C$2:$C$112,A37))</f>
        <v>46025</v>
      </c>
      <c r="F37" s="2" t="n">
        <f aca="false">IF(E37="","",SUMIFS(Orders!$E$2:$E$112,Orders!$C$2:$C$112,A37,Orders!$B$2:$B$112,E37))</f>
        <v>20</v>
      </c>
      <c r="G37" s="3" t="n">
        <v>46225</v>
      </c>
      <c r="H37" s="2" t="s">
        <v>16</v>
      </c>
    </row>
    <row r="38" customFormat="false" ht="15" hidden="false" customHeight="false" outlineLevel="0" collapsed="false">
      <c r="A38" s="2" t="s">
        <v>134</v>
      </c>
      <c r="B38" s="2" t="s">
        <v>135</v>
      </c>
      <c r="C38" s="2" t="s">
        <v>136</v>
      </c>
      <c r="D38" s="2" t="s">
        <v>137</v>
      </c>
      <c r="E38" s="3" t="n">
        <f aca="false">IF(COUNTIF(Orders!$C$2:$C$112,A38)=0,"",_xlfn.MAXIFS(Orders!$B$2:$B$112,Orders!$C$2:$C$112,A38))</f>
        <v>46046</v>
      </c>
      <c r="F38" s="2" t="n">
        <f aca="false">IF(E38="","",SUMIFS(Orders!$E$2:$E$112,Orders!$C$2:$C$112,A38,Orders!$B$2:$B$112,E38))</f>
        <v>24</v>
      </c>
      <c r="G38" s="3" t="n">
        <v>46117</v>
      </c>
      <c r="H38" s="2" t="s">
        <v>34</v>
      </c>
    </row>
    <row r="39" customFormat="false" ht="15" hidden="false" customHeight="false" outlineLevel="0" collapsed="false">
      <c r="A39" s="2" t="s">
        <v>138</v>
      </c>
      <c r="B39" s="2" t="s">
        <v>139</v>
      </c>
      <c r="C39" s="2" t="s">
        <v>140</v>
      </c>
      <c r="D39" s="2" t="s">
        <v>141</v>
      </c>
      <c r="E39" s="3" t="n">
        <f aca="false">IF(COUNTIF(Orders!$C$2:$C$112,A39)=0,"",_xlfn.MAXIFS(Orders!$B$2:$B$112,Orders!$C$2:$C$112,A39))</f>
        <v>46176</v>
      </c>
      <c r="F39" s="2" t="n">
        <f aca="false">IF(E39="","",SUMIFS(Orders!$E$2:$E$112,Orders!$C$2:$C$112,A39,Orders!$B$2:$B$112,E39))</f>
        <v>200</v>
      </c>
      <c r="G39" s="3" t="n">
        <v>46196</v>
      </c>
      <c r="H39" s="2" t="s">
        <v>34</v>
      </c>
    </row>
    <row r="40" customFormat="false" ht="15" hidden="false" customHeight="false" outlineLevel="0" collapsed="false">
      <c r="A40" s="2" t="s">
        <v>142</v>
      </c>
      <c r="B40" s="2" t="s">
        <v>143</v>
      </c>
      <c r="C40" s="2" t="s">
        <v>144</v>
      </c>
      <c r="D40" s="2" t="s">
        <v>145</v>
      </c>
      <c r="E40" s="3" t="str">
        <f aca="false">IF(COUNTIF(Orders!$C$2:$C$112,A40)=0,"",_xlfn.MAXIFS(Orders!$B$2:$B$112,Orders!$C$2:$C$112,A40))</f>
        <v/>
      </c>
      <c r="F40" s="2" t="str">
        <f aca="false">IF(E40="","",SUMIFS(Orders!$E$2:$E$112,Orders!$C$2:$C$112,A40,Orders!$B$2:$B$112,E40))</f>
        <v/>
      </c>
      <c r="G40" s="3" t="n">
        <v>46226</v>
      </c>
      <c r="H40" s="2" t="s">
        <v>34</v>
      </c>
    </row>
    <row r="41" customFormat="false" ht="15" hidden="false" customHeight="false" outlineLevel="0" collapsed="false">
      <c r="A41" s="2" t="s">
        <v>146</v>
      </c>
      <c r="B41" s="2" t="s">
        <v>147</v>
      </c>
      <c r="C41" s="2" t="s">
        <v>148</v>
      </c>
      <c r="D41" s="2" t="s">
        <v>149</v>
      </c>
      <c r="E41" s="3" t="n">
        <f aca="false">IF(COUNTIF(Orders!$C$2:$C$112,A41)=0,"",_xlfn.MAXIFS(Orders!$B$2:$B$112,Orders!$C$2:$C$112,A41))</f>
        <v>46257</v>
      </c>
      <c r="F41" s="2" t="n">
        <f aca="false">IF(E41="","",SUMIFS(Orders!$E$2:$E$112,Orders!$C$2:$C$112,A41,Orders!$B$2:$B$112,E41))</f>
        <v>15</v>
      </c>
      <c r="G41" s="3" t="n">
        <v>46240</v>
      </c>
      <c r="H41" s="2" t="s">
        <v>16</v>
      </c>
    </row>
    <row r="43" customFormat="false" ht="15" hidden="false" customHeight="false" outlineLevel="0" collapsed="false">
      <c r="A43" s="4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" t="s">
        <v>151</v>
      </c>
      <c r="B1" s="1" t="s">
        <v>152</v>
      </c>
      <c r="C1" s="1" t="s">
        <v>0</v>
      </c>
      <c r="D1" s="1" t="s">
        <v>1</v>
      </c>
      <c r="E1" s="1" t="s">
        <v>153</v>
      </c>
      <c r="F1" s="1" t="s">
        <v>154</v>
      </c>
    </row>
    <row r="2" customFormat="false" ht="15" hidden="false" customHeight="false" outlineLevel="0" collapsed="false">
      <c r="A2" s="2" t="s">
        <v>155</v>
      </c>
      <c r="B2" s="3" t="n">
        <v>45916</v>
      </c>
      <c r="C2" s="2" t="s">
        <v>49</v>
      </c>
      <c r="D2" s="2" t="s">
        <v>50</v>
      </c>
      <c r="E2" s="2" t="n">
        <v>40</v>
      </c>
      <c r="F2" s="5" t="n">
        <v>480</v>
      </c>
    </row>
    <row r="3" customFormat="false" ht="15" hidden="false" customHeight="false" outlineLevel="0" collapsed="false">
      <c r="A3" s="2" t="s">
        <v>156</v>
      </c>
      <c r="B3" s="3" t="n">
        <v>45919</v>
      </c>
      <c r="C3" s="2" t="s">
        <v>93</v>
      </c>
      <c r="D3" s="2" t="s">
        <v>94</v>
      </c>
      <c r="E3" s="2" t="n">
        <v>30</v>
      </c>
      <c r="F3" s="5" t="n">
        <v>270</v>
      </c>
    </row>
    <row r="4" customFormat="false" ht="15" hidden="false" customHeight="false" outlineLevel="0" collapsed="false">
      <c r="A4" s="2" t="s">
        <v>157</v>
      </c>
      <c r="B4" s="3" t="n">
        <v>45932</v>
      </c>
      <c r="C4" s="2" t="s">
        <v>27</v>
      </c>
      <c r="D4" s="2" t="s">
        <v>9</v>
      </c>
      <c r="E4" s="2" t="n">
        <v>25</v>
      </c>
      <c r="F4" s="5" t="n">
        <v>187.5</v>
      </c>
    </row>
    <row r="5" customFormat="false" ht="15" hidden="false" customHeight="false" outlineLevel="0" collapsed="false">
      <c r="A5" s="2" t="s">
        <v>158</v>
      </c>
      <c r="B5" s="3" t="n">
        <v>45932</v>
      </c>
      <c r="C5" s="2" t="s">
        <v>66</v>
      </c>
      <c r="D5" s="2" t="s">
        <v>9</v>
      </c>
      <c r="E5" s="2" t="n">
        <v>30</v>
      </c>
      <c r="F5" s="5" t="n">
        <v>247.5</v>
      </c>
    </row>
    <row r="6" customFormat="false" ht="15" hidden="false" customHeight="false" outlineLevel="0" collapsed="false">
      <c r="A6" s="2" t="s">
        <v>159</v>
      </c>
      <c r="B6" s="3" t="n">
        <v>45936</v>
      </c>
      <c r="C6" s="2" t="s">
        <v>109</v>
      </c>
      <c r="D6" s="2" t="s">
        <v>110</v>
      </c>
      <c r="E6" s="2" t="n">
        <v>20</v>
      </c>
      <c r="F6" s="5" t="n">
        <v>180</v>
      </c>
    </row>
    <row r="7" customFormat="false" ht="15" hidden="false" customHeight="false" outlineLevel="0" collapsed="false">
      <c r="A7" s="2" t="s">
        <v>160</v>
      </c>
      <c r="B7" s="3" t="n">
        <v>45939</v>
      </c>
      <c r="C7" s="2" t="s">
        <v>109</v>
      </c>
      <c r="D7" s="2" t="s">
        <v>110</v>
      </c>
      <c r="E7" s="2" t="n">
        <v>30</v>
      </c>
      <c r="F7" s="5" t="n">
        <v>360</v>
      </c>
    </row>
    <row r="8" customFormat="false" ht="15" hidden="false" customHeight="false" outlineLevel="0" collapsed="false">
      <c r="A8" s="2" t="s">
        <v>161</v>
      </c>
      <c r="B8" s="3" t="n">
        <v>45940</v>
      </c>
      <c r="C8" s="2" t="s">
        <v>73</v>
      </c>
      <c r="D8" s="2" t="s">
        <v>70</v>
      </c>
      <c r="E8" s="2" t="n">
        <v>24</v>
      </c>
      <c r="F8" s="5" t="n">
        <v>198</v>
      </c>
    </row>
    <row r="9" customFormat="false" ht="15" hidden="false" customHeight="false" outlineLevel="0" collapsed="false">
      <c r="A9" s="2" t="s">
        <v>162</v>
      </c>
      <c r="B9" s="3" t="n">
        <v>45941</v>
      </c>
      <c r="C9" s="2" t="s">
        <v>66</v>
      </c>
      <c r="D9" s="2" t="s">
        <v>9</v>
      </c>
      <c r="E9" s="2" t="n">
        <v>24</v>
      </c>
      <c r="F9" s="5" t="n">
        <v>198</v>
      </c>
    </row>
    <row r="10" customFormat="false" ht="15" hidden="false" customHeight="false" outlineLevel="0" collapsed="false">
      <c r="A10" s="2" t="s">
        <v>163</v>
      </c>
      <c r="B10" s="3" t="n">
        <v>45942</v>
      </c>
      <c r="C10" s="2" t="s">
        <v>131</v>
      </c>
      <c r="D10" s="2" t="s">
        <v>9</v>
      </c>
      <c r="E10" s="2" t="n">
        <v>15</v>
      </c>
      <c r="F10" s="5" t="n">
        <v>180</v>
      </c>
    </row>
    <row r="11" customFormat="false" ht="15" hidden="false" customHeight="false" outlineLevel="0" collapsed="false">
      <c r="A11" s="2" t="s">
        <v>164</v>
      </c>
      <c r="B11" s="3" t="n">
        <v>45950</v>
      </c>
      <c r="C11" s="2" t="s">
        <v>49</v>
      </c>
      <c r="D11" s="2" t="s">
        <v>50</v>
      </c>
      <c r="E11" s="2" t="n">
        <v>50</v>
      </c>
      <c r="F11" s="5" t="n">
        <v>450</v>
      </c>
    </row>
    <row r="12" customFormat="false" ht="15" hidden="false" customHeight="false" outlineLevel="0" collapsed="false">
      <c r="A12" s="2" t="s">
        <v>165</v>
      </c>
      <c r="B12" s="3" t="n">
        <v>45951</v>
      </c>
      <c r="C12" s="2" t="s">
        <v>38</v>
      </c>
      <c r="D12" s="2" t="s">
        <v>9</v>
      </c>
      <c r="E12" s="2" t="n">
        <v>12</v>
      </c>
      <c r="F12" s="5" t="n">
        <v>144</v>
      </c>
    </row>
    <row r="13" customFormat="false" ht="15" hidden="false" customHeight="false" outlineLevel="0" collapsed="false">
      <c r="A13" s="2" t="s">
        <v>166</v>
      </c>
      <c r="B13" s="3" t="n">
        <v>45954</v>
      </c>
      <c r="C13" s="2" t="s">
        <v>134</v>
      </c>
      <c r="D13" s="2" t="s">
        <v>135</v>
      </c>
      <c r="E13" s="2" t="n">
        <v>50</v>
      </c>
      <c r="F13" s="5" t="n">
        <v>600</v>
      </c>
    </row>
    <row r="14" customFormat="false" ht="15" hidden="false" customHeight="false" outlineLevel="0" collapsed="false">
      <c r="A14" s="2" t="s">
        <v>167</v>
      </c>
      <c r="B14" s="3" t="n">
        <v>45955</v>
      </c>
      <c r="C14" s="2" t="s">
        <v>59</v>
      </c>
      <c r="D14" s="2" t="s">
        <v>9</v>
      </c>
      <c r="E14" s="2" t="n">
        <v>10</v>
      </c>
      <c r="F14" s="5" t="n">
        <v>120</v>
      </c>
    </row>
    <row r="15" customFormat="false" ht="15" hidden="false" customHeight="false" outlineLevel="0" collapsed="false">
      <c r="A15" s="2" t="s">
        <v>168</v>
      </c>
      <c r="B15" s="3" t="n">
        <v>45961</v>
      </c>
      <c r="C15" s="2" t="s">
        <v>90</v>
      </c>
      <c r="D15" s="2" t="s">
        <v>87</v>
      </c>
      <c r="E15" s="2" t="n">
        <v>15</v>
      </c>
      <c r="F15" s="5" t="n">
        <v>180</v>
      </c>
    </row>
    <row r="16" customFormat="false" ht="15" hidden="false" customHeight="false" outlineLevel="0" collapsed="false">
      <c r="A16" s="2" t="s">
        <v>169</v>
      </c>
      <c r="B16" s="3" t="n">
        <v>45962</v>
      </c>
      <c r="C16" s="2" t="s">
        <v>46</v>
      </c>
      <c r="D16" s="2" t="s">
        <v>42</v>
      </c>
      <c r="E16" s="2" t="n">
        <v>15</v>
      </c>
      <c r="F16" s="5" t="n">
        <v>75</v>
      </c>
    </row>
    <row r="17" customFormat="false" ht="15" hidden="false" customHeight="false" outlineLevel="0" collapsed="false">
      <c r="A17" s="2" t="s">
        <v>170</v>
      </c>
      <c r="B17" s="3" t="n">
        <v>45966</v>
      </c>
      <c r="C17" s="2" t="s">
        <v>134</v>
      </c>
      <c r="D17" s="2" t="s">
        <v>135</v>
      </c>
      <c r="E17" s="2" t="n">
        <v>20</v>
      </c>
      <c r="F17" s="5" t="n">
        <v>180</v>
      </c>
    </row>
    <row r="18" customFormat="false" ht="15" hidden="false" customHeight="false" outlineLevel="0" collapsed="false">
      <c r="A18" s="2" t="s">
        <v>171</v>
      </c>
      <c r="B18" s="3" t="n">
        <v>45967</v>
      </c>
      <c r="C18" s="2" t="s">
        <v>56</v>
      </c>
      <c r="D18" s="2" t="s">
        <v>9</v>
      </c>
      <c r="E18" s="2" t="n">
        <v>15</v>
      </c>
      <c r="F18" s="5" t="n">
        <v>112.5</v>
      </c>
    </row>
    <row r="19" customFormat="false" ht="15" hidden="false" customHeight="false" outlineLevel="0" collapsed="false">
      <c r="A19" s="2" t="s">
        <v>172</v>
      </c>
      <c r="B19" s="3" t="n">
        <v>45970</v>
      </c>
      <c r="C19" s="2" t="s">
        <v>103</v>
      </c>
      <c r="D19" s="2" t="s">
        <v>31</v>
      </c>
      <c r="E19" s="2" t="n">
        <v>12</v>
      </c>
      <c r="F19" s="5" t="n">
        <v>126</v>
      </c>
    </row>
    <row r="20" customFormat="false" ht="15" hidden="false" customHeight="false" outlineLevel="0" collapsed="false">
      <c r="A20" s="2" t="s">
        <v>173</v>
      </c>
      <c r="B20" s="3" t="n">
        <v>45975</v>
      </c>
      <c r="C20" s="2" t="s">
        <v>86</v>
      </c>
      <c r="D20" s="2" t="s">
        <v>87</v>
      </c>
      <c r="E20" s="2" t="n">
        <v>24</v>
      </c>
      <c r="F20" s="5" t="n">
        <v>252</v>
      </c>
    </row>
    <row r="21" customFormat="false" ht="15" hidden="false" customHeight="false" outlineLevel="0" collapsed="false">
      <c r="A21" s="2" t="s">
        <v>174</v>
      </c>
      <c r="B21" s="3" t="n">
        <v>45979</v>
      </c>
      <c r="C21" s="2" t="s">
        <v>86</v>
      </c>
      <c r="D21" s="2" t="s">
        <v>87</v>
      </c>
      <c r="E21" s="2" t="n">
        <v>24</v>
      </c>
      <c r="F21" s="5" t="n">
        <v>252</v>
      </c>
    </row>
    <row r="22" customFormat="false" ht="15" hidden="false" customHeight="false" outlineLevel="0" collapsed="false">
      <c r="A22" s="2" t="s">
        <v>175</v>
      </c>
      <c r="B22" s="3" t="n">
        <v>45986</v>
      </c>
      <c r="C22" s="2" t="s">
        <v>73</v>
      </c>
      <c r="D22" s="2" t="s">
        <v>70</v>
      </c>
      <c r="E22" s="2" t="n">
        <v>50</v>
      </c>
      <c r="F22" s="5" t="n">
        <v>450</v>
      </c>
    </row>
    <row r="23" customFormat="false" ht="15" hidden="false" customHeight="false" outlineLevel="0" collapsed="false">
      <c r="A23" s="2" t="s">
        <v>176</v>
      </c>
      <c r="B23" s="3" t="n">
        <v>45987</v>
      </c>
      <c r="C23" s="2" t="s">
        <v>83</v>
      </c>
      <c r="D23" s="2" t="s">
        <v>9</v>
      </c>
      <c r="E23" s="2" t="n">
        <v>12</v>
      </c>
      <c r="F23" s="5" t="n">
        <v>99</v>
      </c>
    </row>
    <row r="24" customFormat="false" ht="15" hidden="false" customHeight="false" outlineLevel="0" collapsed="false">
      <c r="A24" s="2" t="s">
        <v>177</v>
      </c>
      <c r="B24" s="3" t="n">
        <v>45987</v>
      </c>
      <c r="C24" s="2" t="s">
        <v>86</v>
      </c>
      <c r="D24" s="2" t="s">
        <v>87</v>
      </c>
      <c r="E24" s="2" t="n">
        <v>12</v>
      </c>
      <c r="F24" s="5" t="n">
        <v>99</v>
      </c>
    </row>
    <row r="25" customFormat="false" ht="15" hidden="false" customHeight="false" outlineLevel="0" collapsed="false">
      <c r="A25" s="2" t="s">
        <v>178</v>
      </c>
      <c r="B25" s="3" t="n">
        <v>45989</v>
      </c>
      <c r="C25" s="2" t="s">
        <v>20</v>
      </c>
      <c r="D25" s="2" t="s">
        <v>9</v>
      </c>
      <c r="E25" s="2" t="n">
        <v>20</v>
      </c>
      <c r="F25" s="5" t="n">
        <v>165</v>
      </c>
    </row>
    <row r="26" customFormat="false" ht="15" hidden="false" customHeight="false" outlineLevel="0" collapsed="false">
      <c r="A26" s="2" t="s">
        <v>179</v>
      </c>
      <c r="B26" s="3" t="n">
        <v>45992</v>
      </c>
      <c r="C26" s="2" t="s">
        <v>35</v>
      </c>
      <c r="D26" s="2" t="s">
        <v>31</v>
      </c>
      <c r="E26" s="2" t="n">
        <v>15</v>
      </c>
      <c r="F26" s="5" t="n">
        <v>157.5</v>
      </c>
    </row>
    <row r="27" customFormat="false" ht="15" hidden="false" customHeight="false" outlineLevel="0" collapsed="false">
      <c r="A27" s="2" t="s">
        <v>180</v>
      </c>
      <c r="B27" s="3" t="n">
        <v>45992</v>
      </c>
      <c r="C27" s="2" t="s">
        <v>131</v>
      </c>
      <c r="D27" s="2" t="s">
        <v>9</v>
      </c>
      <c r="E27" s="2" t="n">
        <v>60</v>
      </c>
      <c r="F27" s="5" t="n">
        <v>495</v>
      </c>
    </row>
    <row r="28" customFormat="false" ht="15" hidden="false" customHeight="false" outlineLevel="0" collapsed="false">
      <c r="A28" s="2" t="s">
        <v>181</v>
      </c>
      <c r="B28" s="3" t="n">
        <v>45994</v>
      </c>
      <c r="C28" s="2" t="s">
        <v>97</v>
      </c>
      <c r="D28" s="2" t="s">
        <v>9</v>
      </c>
      <c r="E28" s="2" t="n">
        <v>24</v>
      </c>
      <c r="F28" s="5" t="n">
        <v>288</v>
      </c>
    </row>
    <row r="29" customFormat="false" ht="15" hidden="false" customHeight="false" outlineLevel="0" collapsed="false">
      <c r="A29" s="2" t="s">
        <v>182</v>
      </c>
      <c r="B29" s="3" t="n">
        <v>45997</v>
      </c>
      <c r="C29" s="2" t="s">
        <v>124</v>
      </c>
      <c r="D29" s="2" t="s">
        <v>121</v>
      </c>
      <c r="E29" s="2" t="n">
        <v>25</v>
      </c>
      <c r="F29" s="5" t="n">
        <v>206.25</v>
      </c>
    </row>
    <row r="30" customFormat="false" ht="15" hidden="false" customHeight="false" outlineLevel="0" collapsed="false">
      <c r="A30" s="2" t="s">
        <v>183</v>
      </c>
      <c r="B30" s="3" t="n">
        <v>45998</v>
      </c>
      <c r="C30" s="2" t="s">
        <v>113</v>
      </c>
      <c r="D30" s="2" t="s">
        <v>110</v>
      </c>
      <c r="E30" s="2" t="n">
        <v>40</v>
      </c>
      <c r="F30" s="5" t="n">
        <v>330</v>
      </c>
    </row>
    <row r="31" customFormat="false" ht="15" hidden="false" customHeight="false" outlineLevel="0" collapsed="false">
      <c r="A31" s="2" t="s">
        <v>184</v>
      </c>
      <c r="B31" s="3" t="n">
        <v>46000</v>
      </c>
      <c r="C31" s="2" t="s">
        <v>131</v>
      </c>
      <c r="D31" s="2" t="s">
        <v>9</v>
      </c>
      <c r="E31" s="2" t="n">
        <v>25</v>
      </c>
      <c r="F31" s="5" t="n">
        <v>225</v>
      </c>
    </row>
    <row r="32" customFormat="false" ht="15" hidden="false" customHeight="false" outlineLevel="0" collapsed="false">
      <c r="A32" s="2" t="s">
        <v>185</v>
      </c>
      <c r="B32" s="3" t="n">
        <v>46004</v>
      </c>
      <c r="C32" s="2" t="s">
        <v>93</v>
      </c>
      <c r="D32" s="2" t="s">
        <v>94</v>
      </c>
      <c r="E32" s="2" t="n">
        <v>20</v>
      </c>
      <c r="F32" s="5" t="n">
        <v>240</v>
      </c>
    </row>
    <row r="33" customFormat="false" ht="15" hidden="false" customHeight="false" outlineLevel="0" collapsed="false">
      <c r="A33" s="2" t="s">
        <v>186</v>
      </c>
      <c r="B33" s="3" t="n">
        <v>46007</v>
      </c>
      <c r="C33" s="2" t="s">
        <v>53</v>
      </c>
      <c r="D33" s="2" t="s">
        <v>50</v>
      </c>
      <c r="E33" s="2" t="n">
        <v>15</v>
      </c>
      <c r="F33" s="5" t="n">
        <v>135</v>
      </c>
    </row>
    <row r="34" customFormat="false" ht="15" hidden="false" customHeight="false" outlineLevel="0" collapsed="false">
      <c r="A34" s="2" t="s">
        <v>187</v>
      </c>
      <c r="B34" s="3" t="n">
        <v>46011</v>
      </c>
      <c r="C34" s="2" t="s">
        <v>90</v>
      </c>
      <c r="D34" s="2" t="s">
        <v>87</v>
      </c>
      <c r="E34" s="2" t="n">
        <v>20</v>
      </c>
      <c r="F34" s="5" t="n">
        <v>150</v>
      </c>
    </row>
    <row r="35" customFormat="false" ht="15" hidden="false" customHeight="false" outlineLevel="0" collapsed="false">
      <c r="A35" s="2" t="s">
        <v>188</v>
      </c>
      <c r="B35" s="3" t="n">
        <v>46011</v>
      </c>
      <c r="C35" s="2" t="s">
        <v>131</v>
      </c>
      <c r="D35" s="2" t="s">
        <v>9</v>
      </c>
      <c r="E35" s="2" t="n">
        <v>40</v>
      </c>
      <c r="F35" s="5" t="n">
        <v>300</v>
      </c>
    </row>
    <row r="36" customFormat="false" ht="15" hidden="false" customHeight="false" outlineLevel="0" collapsed="false">
      <c r="A36" s="2" t="s">
        <v>189</v>
      </c>
      <c r="B36" s="3" t="n">
        <v>46012</v>
      </c>
      <c r="C36" s="2" t="s">
        <v>100</v>
      </c>
      <c r="D36" s="2" t="s">
        <v>9</v>
      </c>
      <c r="E36" s="2" t="n">
        <v>12</v>
      </c>
      <c r="F36" s="5" t="n">
        <v>144</v>
      </c>
    </row>
    <row r="37" customFormat="false" ht="15" hidden="false" customHeight="false" outlineLevel="0" collapsed="false">
      <c r="A37" s="2" t="s">
        <v>190</v>
      </c>
      <c r="B37" s="3" t="n">
        <v>46017</v>
      </c>
      <c r="C37" s="2" t="s">
        <v>113</v>
      </c>
      <c r="D37" s="2" t="s">
        <v>110</v>
      </c>
      <c r="E37" s="2" t="n">
        <v>30</v>
      </c>
      <c r="F37" s="5" t="n">
        <v>225</v>
      </c>
    </row>
    <row r="38" customFormat="false" ht="15" hidden="false" customHeight="false" outlineLevel="0" collapsed="false">
      <c r="A38" s="2" t="s">
        <v>191</v>
      </c>
      <c r="B38" s="3" t="n">
        <v>46019</v>
      </c>
      <c r="C38" s="2" t="s">
        <v>59</v>
      </c>
      <c r="D38" s="2" t="s">
        <v>9</v>
      </c>
      <c r="E38" s="2" t="n">
        <v>15</v>
      </c>
      <c r="F38" s="5" t="n">
        <v>112.5</v>
      </c>
    </row>
    <row r="39" customFormat="false" ht="15" hidden="false" customHeight="false" outlineLevel="0" collapsed="false">
      <c r="A39" s="2" t="s">
        <v>192</v>
      </c>
      <c r="B39" s="3" t="n">
        <v>46021</v>
      </c>
      <c r="C39" s="2" t="s">
        <v>38</v>
      </c>
      <c r="D39" s="2" t="s">
        <v>9</v>
      </c>
      <c r="E39" s="2" t="n">
        <v>60</v>
      </c>
      <c r="F39" s="5" t="n">
        <v>630</v>
      </c>
    </row>
    <row r="40" customFormat="false" ht="15" hidden="false" customHeight="false" outlineLevel="0" collapsed="false">
      <c r="A40" s="2" t="s">
        <v>193</v>
      </c>
      <c r="B40" s="3" t="n">
        <v>46023</v>
      </c>
      <c r="C40" s="2" t="s">
        <v>73</v>
      </c>
      <c r="D40" s="2" t="s">
        <v>70</v>
      </c>
      <c r="E40" s="2" t="n">
        <v>25</v>
      </c>
      <c r="F40" s="5" t="n">
        <v>300</v>
      </c>
    </row>
    <row r="41" customFormat="false" ht="15" hidden="false" customHeight="false" outlineLevel="0" collapsed="false">
      <c r="A41" s="2" t="s">
        <v>194</v>
      </c>
      <c r="B41" s="3" t="n">
        <v>46025</v>
      </c>
      <c r="C41" s="2" t="s">
        <v>17</v>
      </c>
      <c r="D41" s="2" t="s">
        <v>9</v>
      </c>
      <c r="E41" s="2" t="n">
        <v>40</v>
      </c>
      <c r="F41" s="5" t="n">
        <v>300</v>
      </c>
    </row>
    <row r="42" customFormat="false" ht="15" hidden="false" customHeight="false" outlineLevel="0" collapsed="false">
      <c r="A42" s="2" t="s">
        <v>195</v>
      </c>
      <c r="B42" s="3" t="n">
        <v>46025</v>
      </c>
      <c r="C42" s="2" t="s">
        <v>131</v>
      </c>
      <c r="D42" s="2" t="s">
        <v>9</v>
      </c>
      <c r="E42" s="2" t="n">
        <v>20</v>
      </c>
      <c r="F42" s="5" t="n">
        <v>150</v>
      </c>
    </row>
    <row r="43" customFormat="false" ht="15" hidden="false" customHeight="false" outlineLevel="0" collapsed="false">
      <c r="A43" s="2" t="s">
        <v>196</v>
      </c>
      <c r="B43" s="3" t="n">
        <v>46028</v>
      </c>
      <c r="C43" s="2" t="s">
        <v>49</v>
      </c>
      <c r="D43" s="2" t="s">
        <v>50</v>
      </c>
      <c r="E43" s="2" t="n">
        <v>60</v>
      </c>
      <c r="F43" s="5" t="n">
        <v>720</v>
      </c>
    </row>
    <row r="44" customFormat="false" ht="15" hidden="false" customHeight="false" outlineLevel="0" collapsed="false">
      <c r="A44" s="2" t="s">
        <v>197</v>
      </c>
      <c r="B44" s="3" t="n">
        <v>46030</v>
      </c>
      <c r="C44" s="2" t="s">
        <v>109</v>
      </c>
      <c r="D44" s="2" t="s">
        <v>110</v>
      </c>
      <c r="E44" s="2" t="n">
        <v>10</v>
      </c>
      <c r="F44" s="5" t="n">
        <v>105</v>
      </c>
    </row>
    <row r="45" customFormat="false" ht="15" hidden="false" customHeight="false" outlineLevel="0" collapsed="false">
      <c r="A45" s="2" t="s">
        <v>198</v>
      </c>
      <c r="B45" s="3" t="n">
        <v>46035</v>
      </c>
      <c r="C45" s="2" t="s">
        <v>17</v>
      </c>
      <c r="D45" s="2" t="s">
        <v>9</v>
      </c>
      <c r="E45" s="2" t="n">
        <v>10</v>
      </c>
      <c r="F45" s="5" t="n">
        <v>90</v>
      </c>
    </row>
    <row r="46" customFormat="false" ht="15" hidden="false" customHeight="false" outlineLevel="0" collapsed="false">
      <c r="A46" s="2" t="s">
        <v>199</v>
      </c>
      <c r="B46" s="3" t="n">
        <v>46040</v>
      </c>
      <c r="C46" s="2" t="s">
        <v>62</v>
      </c>
      <c r="D46" s="2" t="s">
        <v>63</v>
      </c>
      <c r="E46" s="2" t="n">
        <v>15</v>
      </c>
      <c r="F46" s="5" t="n">
        <v>157.5</v>
      </c>
    </row>
    <row r="47" customFormat="false" ht="15" hidden="false" customHeight="false" outlineLevel="0" collapsed="false">
      <c r="A47" s="2" t="s">
        <v>200</v>
      </c>
      <c r="B47" s="3" t="n">
        <v>46046</v>
      </c>
      <c r="C47" s="2" t="s">
        <v>134</v>
      </c>
      <c r="D47" s="2" t="s">
        <v>135</v>
      </c>
      <c r="E47" s="2" t="n">
        <v>24</v>
      </c>
      <c r="F47" s="5" t="n">
        <v>252</v>
      </c>
    </row>
    <row r="48" customFormat="false" ht="15" hidden="false" customHeight="false" outlineLevel="0" collapsed="false">
      <c r="A48" s="2" t="s">
        <v>201</v>
      </c>
      <c r="B48" s="3" t="n">
        <v>46048</v>
      </c>
      <c r="C48" s="2" t="s">
        <v>59</v>
      </c>
      <c r="D48" s="2" t="s">
        <v>9</v>
      </c>
      <c r="E48" s="2" t="n">
        <v>20</v>
      </c>
      <c r="F48" s="5" t="n">
        <v>180</v>
      </c>
    </row>
    <row r="49" customFormat="false" ht="15" hidden="false" customHeight="false" outlineLevel="0" collapsed="false">
      <c r="A49" s="2" t="s">
        <v>202</v>
      </c>
      <c r="B49" s="3" t="n">
        <v>46056</v>
      </c>
      <c r="C49" s="2" t="s">
        <v>76</v>
      </c>
      <c r="D49" s="2" t="s">
        <v>31</v>
      </c>
      <c r="E49" s="2" t="n">
        <v>15</v>
      </c>
      <c r="F49" s="5" t="n">
        <v>112.5</v>
      </c>
    </row>
    <row r="50" customFormat="false" ht="15" hidden="false" customHeight="false" outlineLevel="0" collapsed="false">
      <c r="A50" s="2" t="s">
        <v>203</v>
      </c>
      <c r="B50" s="3" t="n">
        <v>46056</v>
      </c>
      <c r="C50" s="2" t="s">
        <v>127</v>
      </c>
      <c r="D50" s="2" t="s">
        <v>128</v>
      </c>
      <c r="E50" s="2" t="n">
        <v>15</v>
      </c>
      <c r="F50" s="5" t="n">
        <v>112.5</v>
      </c>
    </row>
    <row r="51" customFormat="false" ht="15" hidden="false" customHeight="false" outlineLevel="0" collapsed="false">
      <c r="A51" s="2" t="s">
        <v>204</v>
      </c>
      <c r="B51" s="3" t="n">
        <v>46064</v>
      </c>
      <c r="C51" s="2" t="s">
        <v>41</v>
      </c>
      <c r="D51" s="2" t="s">
        <v>42</v>
      </c>
      <c r="E51" s="2" t="n">
        <v>25</v>
      </c>
      <c r="F51" s="5" t="n">
        <v>100</v>
      </c>
    </row>
    <row r="52" customFormat="false" ht="15" hidden="false" customHeight="false" outlineLevel="0" collapsed="false">
      <c r="A52" s="2" t="s">
        <v>205</v>
      </c>
      <c r="B52" s="3" t="n">
        <v>46065</v>
      </c>
      <c r="C52" s="2" t="s">
        <v>13</v>
      </c>
      <c r="D52" s="2" t="s">
        <v>9</v>
      </c>
      <c r="E52" s="2" t="n">
        <v>20</v>
      </c>
      <c r="F52" s="5" t="n">
        <v>210</v>
      </c>
    </row>
    <row r="53" customFormat="false" ht="15" hidden="false" customHeight="false" outlineLevel="0" collapsed="false">
      <c r="A53" s="2" t="s">
        <v>206</v>
      </c>
      <c r="B53" s="3" t="n">
        <v>46066</v>
      </c>
      <c r="C53" s="2" t="s">
        <v>97</v>
      </c>
      <c r="D53" s="2" t="s">
        <v>9</v>
      </c>
      <c r="E53" s="2" t="n">
        <v>50</v>
      </c>
      <c r="F53" s="5" t="n">
        <v>600</v>
      </c>
    </row>
    <row r="54" customFormat="false" ht="15" hidden="false" customHeight="false" outlineLevel="0" collapsed="false">
      <c r="A54" s="2" t="s">
        <v>207</v>
      </c>
      <c r="B54" s="3" t="n">
        <v>46071</v>
      </c>
      <c r="C54" s="2" t="s">
        <v>56</v>
      </c>
      <c r="D54" s="2" t="s">
        <v>9</v>
      </c>
      <c r="E54" s="2" t="n">
        <v>20</v>
      </c>
      <c r="F54" s="5" t="n">
        <v>165</v>
      </c>
    </row>
    <row r="55" customFormat="false" ht="15" hidden="false" customHeight="false" outlineLevel="0" collapsed="false">
      <c r="A55" s="2" t="s">
        <v>208</v>
      </c>
      <c r="B55" s="3" t="n">
        <v>46072</v>
      </c>
      <c r="C55" s="2" t="s">
        <v>76</v>
      </c>
      <c r="D55" s="2" t="s">
        <v>31</v>
      </c>
      <c r="E55" s="2" t="n">
        <v>15</v>
      </c>
      <c r="F55" s="5" t="n">
        <v>157.5</v>
      </c>
    </row>
    <row r="56" customFormat="false" ht="15" hidden="false" customHeight="false" outlineLevel="0" collapsed="false">
      <c r="A56" s="2" t="s">
        <v>209</v>
      </c>
      <c r="B56" s="3" t="n">
        <v>46073</v>
      </c>
      <c r="C56" s="2" t="s">
        <v>100</v>
      </c>
      <c r="D56" s="2" t="s">
        <v>9</v>
      </c>
      <c r="E56" s="2" t="n">
        <v>24</v>
      </c>
      <c r="F56" s="5" t="n">
        <v>216</v>
      </c>
    </row>
    <row r="57" customFormat="false" ht="15" hidden="false" customHeight="false" outlineLevel="0" collapsed="false">
      <c r="A57" s="2" t="s">
        <v>210</v>
      </c>
      <c r="B57" s="3" t="n">
        <v>46080</v>
      </c>
      <c r="C57" s="2" t="s">
        <v>100</v>
      </c>
      <c r="D57" s="2" t="s">
        <v>9</v>
      </c>
      <c r="E57" s="2" t="n">
        <v>50</v>
      </c>
      <c r="F57" s="5" t="n">
        <v>412.5</v>
      </c>
    </row>
    <row r="58" customFormat="false" ht="15" hidden="false" customHeight="false" outlineLevel="0" collapsed="false">
      <c r="A58" s="2" t="s">
        <v>211</v>
      </c>
      <c r="B58" s="3" t="n">
        <v>46088</v>
      </c>
      <c r="C58" s="2" t="s">
        <v>69</v>
      </c>
      <c r="D58" s="2" t="s">
        <v>70</v>
      </c>
      <c r="E58" s="2" t="n">
        <v>15</v>
      </c>
      <c r="F58" s="5" t="n">
        <v>123.75</v>
      </c>
    </row>
    <row r="59" customFormat="false" ht="15" hidden="false" customHeight="false" outlineLevel="0" collapsed="false">
      <c r="A59" s="2" t="s">
        <v>212</v>
      </c>
      <c r="B59" s="3" t="n">
        <v>46089</v>
      </c>
      <c r="C59" s="2" t="s">
        <v>41</v>
      </c>
      <c r="D59" s="2" t="s">
        <v>42</v>
      </c>
      <c r="E59" s="2" t="n">
        <v>15</v>
      </c>
      <c r="F59" s="5" t="n">
        <v>60</v>
      </c>
    </row>
    <row r="60" customFormat="false" ht="15" hidden="false" customHeight="false" outlineLevel="0" collapsed="false">
      <c r="A60" s="2" t="s">
        <v>213</v>
      </c>
      <c r="B60" s="3" t="n">
        <v>46092</v>
      </c>
      <c r="C60" s="2" t="s">
        <v>56</v>
      </c>
      <c r="D60" s="2" t="s">
        <v>9</v>
      </c>
      <c r="E60" s="2" t="n">
        <v>60</v>
      </c>
      <c r="F60" s="5" t="n">
        <v>630</v>
      </c>
    </row>
    <row r="61" customFormat="false" ht="15" hidden="false" customHeight="false" outlineLevel="0" collapsed="false">
      <c r="A61" s="2" t="s">
        <v>214</v>
      </c>
      <c r="B61" s="3" t="n">
        <v>46112</v>
      </c>
      <c r="C61" s="2" t="s">
        <v>124</v>
      </c>
      <c r="D61" s="2" t="s">
        <v>121</v>
      </c>
      <c r="E61" s="2" t="n">
        <v>24</v>
      </c>
      <c r="F61" s="5" t="n">
        <v>216</v>
      </c>
    </row>
    <row r="62" customFormat="false" ht="15" hidden="false" customHeight="false" outlineLevel="0" collapsed="false">
      <c r="A62" s="2" t="s">
        <v>215</v>
      </c>
      <c r="B62" s="3" t="n">
        <v>46113</v>
      </c>
      <c r="C62" s="2" t="s">
        <v>8</v>
      </c>
      <c r="D62" s="2" t="s">
        <v>9</v>
      </c>
      <c r="E62" s="2" t="n">
        <v>60</v>
      </c>
      <c r="F62" s="5" t="n">
        <v>495</v>
      </c>
    </row>
    <row r="63" customFormat="false" ht="15" hidden="false" customHeight="false" outlineLevel="0" collapsed="false">
      <c r="A63" s="2" t="s">
        <v>216</v>
      </c>
      <c r="B63" s="3" t="n">
        <v>46113</v>
      </c>
      <c r="C63" s="2" t="s">
        <v>41</v>
      </c>
      <c r="D63" s="2" t="s">
        <v>42</v>
      </c>
      <c r="E63" s="2" t="n">
        <v>20</v>
      </c>
      <c r="F63" s="5" t="n">
        <v>80</v>
      </c>
    </row>
    <row r="64" customFormat="false" ht="15" hidden="false" customHeight="false" outlineLevel="0" collapsed="false">
      <c r="A64" s="2" t="s">
        <v>217</v>
      </c>
      <c r="B64" s="3" t="n">
        <v>46118</v>
      </c>
      <c r="C64" s="2" t="s">
        <v>83</v>
      </c>
      <c r="D64" s="2" t="s">
        <v>9</v>
      </c>
      <c r="E64" s="2" t="n">
        <v>12</v>
      </c>
      <c r="F64" s="5" t="n">
        <v>90</v>
      </c>
    </row>
    <row r="65" customFormat="false" ht="15" hidden="false" customHeight="false" outlineLevel="0" collapsed="false">
      <c r="A65" s="2" t="s">
        <v>218</v>
      </c>
      <c r="B65" s="3" t="n">
        <v>46118</v>
      </c>
      <c r="C65" s="2" t="s">
        <v>93</v>
      </c>
      <c r="D65" s="2" t="s">
        <v>94</v>
      </c>
      <c r="E65" s="2" t="n">
        <v>60</v>
      </c>
      <c r="F65" s="5" t="n">
        <v>540</v>
      </c>
    </row>
    <row r="66" customFormat="false" ht="15" hidden="false" customHeight="false" outlineLevel="0" collapsed="false">
      <c r="A66" s="2" t="s">
        <v>219</v>
      </c>
      <c r="B66" s="3" t="n">
        <v>46120</v>
      </c>
      <c r="C66" s="2" t="s">
        <v>35</v>
      </c>
      <c r="D66" s="2" t="s">
        <v>31</v>
      </c>
      <c r="E66" s="2" t="n">
        <v>40</v>
      </c>
      <c r="F66" s="5" t="n">
        <v>330</v>
      </c>
    </row>
    <row r="67" customFormat="false" ht="15" hidden="false" customHeight="false" outlineLevel="0" collapsed="false">
      <c r="A67" s="2" t="s">
        <v>220</v>
      </c>
      <c r="B67" s="3" t="n">
        <v>46120</v>
      </c>
      <c r="C67" s="2" t="s">
        <v>109</v>
      </c>
      <c r="D67" s="2" t="s">
        <v>110</v>
      </c>
      <c r="E67" s="2" t="n">
        <v>12</v>
      </c>
      <c r="F67" s="5" t="n">
        <v>126</v>
      </c>
    </row>
    <row r="68" customFormat="false" ht="15" hidden="false" customHeight="false" outlineLevel="0" collapsed="false">
      <c r="A68" s="2" t="s">
        <v>221</v>
      </c>
      <c r="B68" s="3" t="n">
        <v>46138</v>
      </c>
      <c r="C68" s="2" t="s">
        <v>24</v>
      </c>
      <c r="D68" s="2" t="s">
        <v>9</v>
      </c>
      <c r="E68" s="2" t="n">
        <v>30</v>
      </c>
      <c r="F68" s="5" t="n">
        <v>360</v>
      </c>
    </row>
    <row r="69" customFormat="false" ht="15" hidden="false" customHeight="false" outlineLevel="0" collapsed="false">
      <c r="A69" s="2" t="s">
        <v>222</v>
      </c>
      <c r="B69" s="3" t="n">
        <v>46138</v>
      </c>
      <c r="C69" s="2" t="s">
        <v>146</v>
      </c>
      <c r="D69" s="2" t="s">
        <v>147</v>
      </c>
      <c r="E69" s="2" t="n">
        <v>40</v>
      </c>
      <c r="F69" s="5" t="n">
        <v>420</v>
      </c>
    </row>
    <row r="70" customFormat="false" ht="15" hidden="false" customHeight="false" outlineLevel="0" collapsed="false">
      <c r="A70" s="2" t="s">
        <v>223</v>
      </c>
      <c r="B70" s="3" t="n">
        <v>46145</v>
      </c>
      <c r="C70" s="2" t="s">
        <v>120</v>
      </c>
      <c r="D70" s="2" t="s">
        <v>121</v>
      </c>
      <c r="E70" s="2" t="n">
        <v>60</v>
      </c>
      <c r="F70" s="5" t="n">
        <v>540</v>
      </c>
    </row>
    <row r="71" customFormat="false" ht="15" hidden="false" customHeight="false" outlineLevel="0" collapsed="false">
      <c r="A71" s="2" t="s">
        <v>224</v>
      </c>
      <c r="B71" s="3" t="n">
        <v>46146</v>
      </c>
      <c r="C71" s="2" t="s">
        <v>41</v>
      </c>
      <c r="D71" s="2" t="s">
        <v>42</v>
      </c>
      <c r="E71" s="2" t="n">
        <v>50</v>
      </c>
      <c r="F71" s="5" t="n">
        <v>200</v>
      </c>
    </row>
    <row r="72" customFormat="false" ht="15" hidden="false" customHeight="false" outlineLevel="0" collapsed="false">
      <c r="A72" s="2" t="s">
        <v>225</v>
      </c>
      <c r="B72" s="3" t="n">
        <v>46147</v>
      </c>
      <c r="C72" s="2" t="s">
        <v>30</v>
      </c>
      <c r="D72" s="2" t="s">
        <v>31</v>
      </c>
      <c r="E72" s="2" t="n">
        <v>15</v>
      </c>
      <c r="F72" s="5" t="n">
        <v>180</v>
      </c>
    </row>
    <row r="73" customFormat="false" ht="15" hidden="false" customHeight="false" outlineLevel="0" collapsed="false">
      <c r="A73" s="2" t="s">
        <v>226</v>
      </c>
      <c r="B73" s="3" t="n">
        <v>46152</v>
      </c>
      <c r="C73" s="2" t="s">
        <v>93</v>
      </c>
      <c r="D73" s="2" t="s">
        <v>94</v>
      </c>
      <c r="E73" s="2" t="n">
        <v>12</v>
      </c>
      <c r="F73" s="5" t="n">
        <v>90</v>
      </c>
    </row>
    <row r="74" customFormat="false" ht="15" hidden="false" customHeight="false" outlineLevel="0" collapsed="false">
      <c r="A74" s="2" t="s">
        <v>227</v>
      </c>
      <c r="B74" s="3" t="n">
        <v>46154</v>
      </c>
      <c r="C74" s="2" t="s">
        <v>146</v>
      </c>
      <c r="D74" s="2" t="s">
        <v>147</v>
      </c>
      <c r="E74" s="2" t="n">
        <v>30</v>
      </c>
      <c r="F74" s="5" t="n">
        <v>360</v>
      </c>
    </row>
    <row r="75" customFormat="false" ht="15" hidden="false" customHeight="false" outlineLevel="0" collapsed="false">
      <c r="A75" s="2" t="s">
        <v>228</v>
      </c>
      <c r="B75" s="3" t="n">
        <v>46160</v>
      </c>
      <c r="C75" s="2" t="s">
        <v>73</v>
      </c>
      <c r="D75" s="2" t="s">
        <v>70</v>
      </c>
      <c r="E75" s="2" t="n">
        <v>10</v>
      </c>
      <c r="F75" s="5" t="n">
        <v>105</v>
      </c>
    </row>
    <row r="76" customFormat="false" ht="15" hidden="false" customHeight="false" outlineLevel="0" collapsed="false">
      <c r="A76" s="2" t="s">
        <v>229</v>
      </c>
      <c r="B76" s="3" t="n">
        <v>46160</v>
      </c>
      <c r="C76" s="2" t="s">
        <v>116</v>
      </c>
      <c r="D76" s="2" t="s">
        <v>117</v>
      </c>
      <c r="E76" s="2" t="n">
        <v>15</v>
      </c>
      <c r="F76" s="5" t="n">
        <v>157.5</v>
      </c>
    </row>
    <row r="77" customFormat="false" ht="15" hidden="false" customHeight="false" outlineLevel="0" collapsed="false">
      <c r="A77" s="2" t="s">
        <v>230</v>
      </c>
      <c r="B77" s="3" t="n">
        <v>46173</v>
      </c>
      <c r="C77" s="2" t="s">
        <v>17</v>
      </c>
      <c r="D77" s="2" t="s">
        <v>9</v>
      </c>
      <c r="E77" s="2" t="n">
        <v>50</v>
      </c>
      <c r="F77" s="5" t="n">
        <v>600</v>
      </c>
    </row>
    <row r="78" customFormat="false" ht="15" hidden="false" customHeight="false" outlineLevel="0" collapsed="false">
      <c r="A78" s="2" t="s">
        <v>231</v>
      </c>
      <c r="B78" s="3" t="n">
        <v>46173</v>
      </c>
      <c r="C78" s="2" t="s">
        <v>93</v>
      </c>
      <c r="D78" s="2" t="s">
        <v>94</v>
      </c>
      <c r="E78" s="2" t="n">
        <v>10</v>
      </c>
      <c r="F78" s="5" t="n">
        <v>82.5</v>
      </c>
    </row>
    <row r="79" customFormat="false" ht="15" hidden="false" customHeight="false" outlineLevel="0" collapsed="false">
      <c r="A79" s="2" t="s">
        <v>232</v>
      </c>
      <c r="B79" s="3" t="n">
        <v>46174</v>
      </c>
      <c r="C79" s="2" t="s">
        <v>62</v>
      </c>
      <c r="D79" s="2" t="s">
        <v>63</v>
      </c>
      <c r="E79" s="2" t="n">
        <v>30</v>
      </c>
      <c r="F79" s="5" t="n">
        <v>315</v>
      </c>
    </row>
    <row r="80" customFormat="false" ht="15" hidden="false" customHeight="false" outlineLevel="0" collapsed="false">
      <c r="A80" s="2" t="s">
        <v>233</v>
      </c>
      <c r="B80" s="3" t="n">
        <v>46176</v>
      </c>
      <c r="C80" s="2" t="s">
        <v>138</v>
      </c>
      <c r="D80" s="2" t="s">
        <v>139</v>
      </c>
      <c r="E80" s="2" t="n">
        <v>200</v>
      </c>
      <c r="F80" s="5" t="n">
        <v>1650</v>
      </c>
    </row>
    <row r="81" customFormat="false" ht="15" hidden="false" customHeight="false" outlineLevel="0" collapsed="false">
      <c r="A81" s="2" t="s">
        <v>234</v>
      </c>
      <c r="B81" s="3" t="n">
        <v>46177</v>
      </c>
      <c r="C81" s="2" t="s">
        <v>17</v>
      </c>
      <c r="D81" s="2" t="s">
        <v>9</v>
      </c>
      <c r="E81" s="2" t="n">
        <v>15</v>
      </c>
      <c r="F81" s="5" t="n">
        <v>157.5</v>
      </c>
    </row>
    <row r="82" customFormat="false" ht="15" hidden="false" customHeight="false" outlineLevel="0" collapsed="false">
      <c r="A82" s="2" t="s">
        <v>235</v>
      </c>
      <c r="B82" s="3" t="n">
        <v>46177</v>
      </c>
      <c r="C82" s="2" t="s">
        <v>109</v>
      </c>
      <c r="D82" s="2" t="s">
        <v>110</v>
      </c>
      <c r="E82" s="2" t="n">
        <v>30</v>
      </c>
      <c r="F82" s="5" t="n">
        <v>315</v>
      </c>
    </row>
    <row r="83" customFormat="false" ht="15" hidden="false" customHeight="false" outlineLevel="0" collapsed="false">
      <c r="A83" s="2" t="s">
        <v>236</v>
      </c>
      <c r="B83" s="3" t="n">
        <v>46183</v>
      </c>
      <c r="C83" s="2" t="s">
        <v>124</v>
      </c>
      <c r="D83" s="2" t="s">
        <v>121</v>
      </c>
      <c r="E83" s="2" t="n">
        <v>10</v>
      </c>
      <c r="F83" s="5" t="n">
        <v>105</v>
      </c>
    </row>
    <row r="84" customFormat="false" ht="15" hidden="false" customHeight="false" outlineLevel="0" collapsed="false">
      <c r="A84" s="2" t="s">
        <v>237</v>
      </c>
      <c r="B84" s="3" t="n">
        <v>46184</v>
      </c>
      <c r="C84" s="2" t="s">
        <v>100</v>
      </c>
      <c r="D84" s="2" t="s">
        <v>9</v>
      </c>
      <c r="E84" s="2" t="n">
        <v>50</v>
      </c>
      <c r="F84" s="5" t="n">
        <v>450</v>
      </c>
    </row>
    <row r="85" customFormat="false" ht="15" hidden="false" customHeight="false" outlineLevel="0" collapsed="false">
      <c r="A85" s="2" t="s">
        <v>238</v>
      </c>
      <c r="B85" s="3" t="n">
        <v>46188</v>
      </c>
      <c r="C85" s="2" t="s">
        <v>76</v>
      </c>
      <c r="D85" s="2" t="s">
        <v>31</v>
      </c>
      <c r="E85" s="2" t="n">
        <v>60</v>
      </c>
      <c r="F85" s="5" t="n">
        <v>495</v>
      </c>
    </row>
    <row r="86" customFormat="false" ht="15" hidden="false" customHeight="false" outlineLevel="0" collapsed="false">
      <c r="A86" s="2" t="s">
        <v>239</v>
      </c>
      <c r="B86" s="3" t="n">
        <v>46189</v>
      </c>
      <c r="C86" s="2" t="s">
        <v>41</v>
      </c>
      <c r="D86" s="2" t="s">
        <v>42</v>
      </c>
      <c r="E86" s="2" t="n">
        <v>30</v>
      </c>
      <c r="F86" s="5" t="n">
        <v>120</v>
      </c>
    </row>
    <row r="87" customFormat="false" ht="15" hidden="false" customHeight="false" outlineLevel="0" collapsed="false">
      <c r="A87" s="2" t="s">
        <v>240</v>
      </c>
      <c r="B87" s="3" t="n">
        <v>46190</v>
      </c>
      <c r="C87" s="2" t="s">
        <v>86</v>
      </c>
      <c r="D87" s="2" t="s">
        <v>87</v>
      </c>
      <c r="E87" s="2" t="n">
        <v>25</v>
      </c>
      <c r="F87" s="5" t="n">
        <v>300</v>
      </c>
    </row>
    <row r="88" customFormat="false" ht="15" hidden="false" customHeight="false" outlineLevel="0" collapsed="false">
      <c r="A88" s="2" t="s">
        <v>241</v>
      </c>
      <c r="B88" s="3" t="n">
        <v>46191</v>
      </c>
      <c r="C88" s="2" t="s">
        <v>27</v>
      </c>
      <c r="D88" s="2" t="s">
        <v>9</v>
      </c>
      <c r="E88" s="2" t="n">
        <v>40</v>
      </c>
      <c r="F88" s="5" t="n">
        <v>330</v>
      </c>
    </row>
    <row r="89" customFormat="false" ht="15" hidden="false" customHeight="false" outlineLevel="0" collapsed="false">
      <c r="A89" s="2" t="s">
        <v>242</v>
      </c>
      <c r="B89" s="3" t="n">
        <v>46196</v>
      </c>
      <c r="C89" s="2" t="s">
        <v>97</v>
      </c>
      <c r="D89" s="2" t="s">
        <v>9</v>
      </c>
      <c r="E89" s="2" t="n">
        <v>40</v>
      </c>
      <c r="F89" s="5" t="n">
        <v>300</v>
      </c>
    </row>
    <row r="90" customFormat="false" ht="15" hidden="false" customHeight="false" outlineLevel="0" collapsed="false">
      <c r="A90" s="2" t="s">
        <v>243</v>
      </c>
      <c r="B90" s="3" t="n">
        <v>46202</v>
      </c>
      <c r="C90" s="2" t="s">
        <v>62</v>
      </c>
      <c r="D90" s="2" t="s">
        <v>63</v>
      </c>
      <c r="E90" s="2" t="n">
        <v>12</v>
      </c>
      <c r="F90" s="5" t="n">
        <v>126</v>
      </c>
    </row>
    <row r="91" customFormat="false" ht="15" hidden="false" customHeight="false" outlineLevel="0" collapsed="false">
      <c r="A91" s="2" t="s">
        <v>244</v>
      </c>
      <c r="B91" s="3" t="n">
        <v>46208</v>
      </c>
      <c r="C91" s="2" t="s">
        <v>97</v>
      </c>
      <c r="D91" s="2" t="s">
        <v>9</v>
      </c>
      <c r="E91" s="2" t="n">
        <v>12</v>
      </c>
      <c r="F91" s="5" t="n">
        <v>144</v>
      </c>
    </row>
    <row r="92" customFormat="false" ht="15" hidden="false" customHeight="false" outlineLevel="0" collapsed="false">
      <c r="A92" s="2" t="s">
        <v>245</v>
      </c>
      <c r="B92" s="3" t="n">
        <v>46212</v>
      </c>
      <c r="C92" s="2" t="s">
        <v>8</v>
      </c>
      <c r="D92" s="2" t="s">
        <v>9</v>
      </c>
      <c r="E92" s="2" t="n">
        <v>85</v>
      </c>
      <c r="F92" s="5" t="n">
        <v>892.5</v>
      </c>
    </row>
    <row r="93" customFormat="false" ht="15" hidden="false" customHeight="false" outlineLevel="0" collapsed="false">
      <c r="A93" s="2" t="s">
        <v>246</v>
      </c>
      <c r="B93" s="3" t="n">
        <v>46212</v>
      </c>
      <c r="C93" s="2" t="s">
        <v>76</v>
      </c>
      <c r="D93" s="2" t="s">
        <v>31</v>
      </c>
      <c r="E93" s="2" t="n">
        <v>40</v>
      </c>
      <c r="F93" s="5" t="n">
        <v>300</v>
      </c>
    </row>
    <row r="94" customFormat="false" ht="15" hidden="false" customHeight="false" outlineLevel="0" collapsed="false">
      <c r="A94" s="2" t="s">
        <v>247</v>
      </c>
      <c r="B94" s="3" t="n">
        <v>46214</v>
      </c>
      <c r="C94" s="2" t="s">
        <v>79</v>
      </c>
      <c r="D94" s="2" t="s">
        <v>80</v>
      </c>
      <c r="E94" s="2" t="n">
        <v>30</v>
      </c>
      <c r="F94" s="5" t="n">
        <v>270</v>
      </c>
    </row>
    <row r="95" customFormat="false" ht="15" hidden="false" customHeight="false" outlineLevel="0" collapsed="false">
      <c r="A95" s="2" t="s">
        <v>248</v>
      </c>
      <c r="B95" s="3" t="n">
        <v>46218</v>
      </c>
      <c r="C95" s="2" t="s">
        <v>79</v>
      </c>
      <c r="D95" s="2" t="s">
        <v>80</v>
      </c>
      <c r="E95" s="2" t="n">
        <v>25</v>
      </c>
      <c r="F95" s="5" t="n">
        <v>262.5</v>
      </c>
    </row>
    <row r="96" customFormat="false" ht="15" hidden="false" customHeight="false" outlineLevel="0" collapsed="false">
      <c r="A96" s="2" t="s">
        <v>249</v>
      </c>
      <c r="B96" s="3" t="n">
        <v>46221</v>
      </c>
      <c r="C96" s="2" t="s">
        <v>49</v>
      </c>
      <c r="D96" s="2" t="s">
        <v>50</v>
      </c>
      <c r="E96" s="2" t="n">
        <v>50</v>
      </c>
      <c r="F96" s="5" t="n">
        <v>600</v>
      </c>
    </row>
    <row r="97" customFormat="false" ht="15" hidden="false" customHeight="false" outlineLevel="0" collapsed="false">
      <c r="A97" s="2" t="s">
        <v>250</v>
      </c>
      <c r="B97" s="3" t="n">
        <v>46224</v>
      </c>
      <c r="C97" s="2" t="s">
        <v>120</v>
      </c>
      <c r="D97" s="2" t="s">
        <v>121</v>
      </c>
      <c r="E97" s="2" t="n">
        <v>20</v>
      </c>
      <c r="F97" s="5" t="n">
        <v>165</v>
      </c>
    </row>
    <row r="98" customFormat="false" ht="15" hidden="false" customHeight="false" outlineLevel="0" collapsed="false">
      <c r="A98" s="2" t="s">
        <v>251</v>
      </c>
      <c r="B98" s="3" t="n">
        <v>46229</v>
      </c>
      <c r="C98" s="2" t="s">
        <v>124</v>
      </c>
      <c r="D98" s="2" t="s">
        <v>121</v>
      </c>
      <c r="E98" s="2" t="n">
        <v>30</v>
      </c>
      <c r="F98" s="5" t="n">
        <v>247.5</v>
      </c>
    </row>
    <row r="99" customFormat="false" ht="15" hidden="false" customHeight="false" outlineLevel="0" collapsed="false">
      <c r="A99" s="2" t="s">
        <v>252</v>
      </c>
      <c r="B99" s="3" t="n">
        <v>46230</v>
      </c>
      <c r="C99" s="2" t="s">
        <v>146</v>
      </c>
      <c r="D99" s="2" t="s">
        <v>147</v>
      </c>
      <c r="E99" s="2" t="n">
        <v>24</v>
      </c>
      <c r="F99" s="5" t="n">
        <v>216</v>
      </c>
    </row>
    <row r="100" customFormat="false" ht="15" hidden="false" customHeight="false" outlineLevel="0" collapsed="false">
      <c r="A100" s="2" t="s">
        <v>253</v>
      </c>
      <c r="B100" s="3" t="n">
        <v>46244</v>
      </c>
      <c r="C100" s="2" t="s">
        <v>79</v>
      </c>
      <c r="D100" s="2" t="s">
        <v>80</v>
      </c>
      <c r="E100" s="2" t="n">
        <v>20</v>
      </c>
      <c r="F100" s="5" t="n">
        <v>165</v>
      </c>
    </row>
    <row r="101" customFormat="false" ht="15" hidden="false" customHeight="false" outlineLevel="0" collapsed="false">
      <c r="A101" s="2" t="s">
        <v>254</v>
      </c>
      <c r="B101" s="3" t="n">
        <v>46247</v>
      </c>
      <c r="C101" s="2" t="s">
        <v>27</v>
      </c>
      <c r="D101" s="2" t="s">
        <v>9</v>
      </c>
      <c r="E101" s="2" t="n">
        <v>25</v>
      </c>
      <c r="F101" s="5" t="n">
        <v>187.5</v>
      </c>
    </row>
    <row r="102" customFormat="false" ht="15" hidden="false" customHeight="false" outlineLevel="0" collapsed="false">
      <c r="A102" s="2" t="s">
        <v>255</v>
      </c>
      <c r="B102" s="3" t="n">
        <v>46248</v>
      </c>
      <c r="C102" s="2" t="s">
        <v>103</v>
      </c>
      <c r="D102" s="2" t="s">
        <v>31</v>
      </c>
      <c r="E102" s="2" t="n">
        <v>12</v>
      </c>
      <c r="F102" s="5" t="n">
        <v>144</v>
      </c>
    </row>
    <row r="103" customFormat="false" ht="15" hidden="false" customHeight="false" outlineLevel="0" collapsed="false">
      <c r="A103" s="2" t="s">
        <v>256</v>
      </c>
      <c r="B103" s="3" t="n">
        <v>46251</v>
      </c>
      <c r="C103" s="2" t="s">
        <v>103</v>
      </c>
      <c r="D103" s="2" t="s">
        <v>31</v>
      </c>
      <c r="E103" s="2" t="n">
        <v>30</v>
      </c>
      <c r="F103" s="5" t="n">
        <v>360</v>
      </c>
    </row>
    <row r="104" customFormat="false" ht="15" hidden="false" customHeight="false" outlineLevel="0" collapsed="false">
      <c r="A104" s="2" t="s">
        <v>257</v>
      </c>
      <c r="B104" s="3" t="n">
        <v>46252</v>
      </c>
      <c r="C104" s="2" t="s">
        <v>66</v>
      </c>
      <c r="D104" s="2" t="s">
        <v>9</v>
      </c>
      <c r="E104" s="2" t="n">
        <v>24</v>
      </c>
      <c r="F104" s="5" t="n">
        <v>252</v>
      </c>
    </row>
    <row r="105" customFormat="false" ht="15" hidden="false" customHeight="false" outlineLevel="0" collapsed="false">
      <c r="A105" s="2" t="s">
        <v>258</v>
      </c>
      <c r="B105" s="3" t="n">
        <v>46254</v>
      </c>
      <c r="C105" s="2" t="s">
        <v>13</v>
      </c>
      <c r="D105" s="2" t="s">
        <v>9</v>
      </c>
      <c r="E105" s="2" t="n">
        <v>30</v>
      </c>
      <c r="F105" s="5" t="n">
        <v>270</v>
      </c>
    </row>
    <row r="106" customFormat="false" ht="15" hidden="false" customHeight="false" outlineLevel="0" collapsed="false">
      <c r="A106" s="2" t="s">
        <v>259</v>
      </c>
      <c r="B106" s="3" t="n">
        <v>46255</v>
      </c>
      <c r="C106" s="2" t="s">
        <v>35</v>
      </c>
      <c r="D106" s="2" t="s">
        <v>31</v>
      </c>
      <c r="E106" s="2" t="n">
        <v>10</v>
      </c>
      <c r="F106" s="5" t="n">
        <v>75</v>
      </c>
    </row>
    <row r="107" customFormat="false" ht="15" hidden="false" customHeight="false" outlineLevel="0" collapsed="false">
      <c r="A107" s="2" t="s">
        <v>260</v>
      </c>
      <c r="B107" s="3" t="n">
        <v>46256</v>
      </c>
      <c r="C107" s="2" t="s">
        <v>62</v>
      </c>
      <c r="D107" s="2" t="s">
        <v>63</v>
      </c>
      <c r="E107" s="2" t="n">
        <v>20</v>
      </c>
      <c r="F107" s="5" t="n">
        <v>150</v>
      </c>
    </row>
    <row r="108" customFormat="false" ht="15" hidden="false" customHeight="false" outlineLevel="0" collapsed="false">
      <c r="A108" s="2" t="s">
        <v>261</v>
      </c>
      <c r="B108" s="3" t="n">
        <v>46257</v>
      </c>
      <c r="C108" s="2" t="s">
        <v>120</v>
      </c>
      <c r="D108" s="2" t="s">
        <v>121</v>
      </c>
      <c r="E108" s="2" t="n">
        <v>60</v>
      </c>
      <c r="F108" s="5" t="n">
        <v>630</v>
      </c>
    </row>
    <row r="109" customFormat="false" ht="15" hidden="false" customHeight="false" outlineLevel="0" collapsed="false">
      <c r="A109" s="2" t="s">
        <v>262</v>
      </c>
      <c r="B109" s="3" t="n">
        <v>46257</v>
      </c>
      <c r="C109" s="2" t="s">
        <v>146</v>
      </c>
      <c r="D109" s="2" t="s">
        <v>147</v>
      </c>
      <c r="E109" s="2" t="n">
        <v>15</v>
      </c>
      <c r="F109" s="5" t="n">
        <v>112.5</v>
      </c>
    </row>
    <row r="110" customFormat="false" ht="15" hidden="false" customHeight="false" outlineLevel="0" collapsed="false">
      <c r="A110" s="2" t="s">
        <v>263</v>
      </c>
      <c r="B110" s="3" t="n">
        <v>46263</v>
      </c>
      <c r="C110" s="2" t="s">
        <v>106</v>
      </c>
      <c r="D110" s="2" t="s">
        <v>42</v>
      </c>
      <c r="E110" s="2" t="n">
        <v>40</v>
      </c>
      <c r="F110" s="5" t="n">
        <v>160</v>
      </c>
    </row>
    <row r="111" customFormat="false" ht="15" hidden="false" customHeight="false" outlineLevel="0" collapsed="false">
      <c r="A111" s="2" t="s">
        <v>264</v>
      </c>
      <c r="B111" s="3" t="n">
        <v>46270</v>
      </c>
      <c r="C111" s="2" t="s">
        <v>27</v>
      </c>
      <c r="D111" s="2" t="s">
        <v>9</v>
      </c>
      <c r="E111" s="2" t="n">
        <v>12</v>
      </c>
      <c r="F111" s="5" t="n">
        <v>90</v>
      </c>
    </row>
    <row r="112" customFormat="false" ht="15" hidden="false" customHeight="false" outlineLevel="0" collapsed="false">
      <c r="A112" s="2" t="s">
        <v>265</v>
      </c>
      <c r="B112" s="3" t="n">
        <v>46273</v>
      </c>
      <c r="C112" s="2" t="s">
        <v>100</v>
      </c>
      <c r="D112" s="2" t="s">
        <v>9</v>
      </c>
      <c r="E112" s="2" t="n">
        <v>60</v>
      </c>
      <c r="F112" s="5" t="n">
        <v>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2026-09-19T02:31:05Z</dcterms:created>
  <dc:creator>openpyxl</dc:creator>
  <dc:description/>
  <dc:language>en-US</dc:language>
  <cp:lastModifiedBy/>
  <dcterms:modified xsi:type="dcterms:W3CDTF">2026-09-19T02:31:05Z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